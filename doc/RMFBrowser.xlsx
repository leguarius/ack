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autoCompressPictures="0"/>
  <mc:AlternateContent xmlns:mc="http://schemas.openxmlformats.org/markup-compatibility/2006">
    <mc:Choice Requires="x15">
      <x15ac:absPath xmlns:x15ac="http://schemas.microsoft.com/office/spreadsheetml/2010/11/ac" url="https://bbraun-my.sharepoint.com/personal/patrick_raugel_ext_bbraun_com/Documents/Documents/TechFile/"/>
    </mc:Choice>
  </mc:AlternateContent>
  <xr:revisionPtr revIDLastSave="629" documentId="8_{BBBC4580-3D04-4486-8B42-2CE3DAD61276}" xr6:coauthVersionLast="47" xr6:coauthVersionMax="47" xr10:uidLastSave="{6603A079-F747-477A-9CEC-8FD63D925547}"/>
  <bookViews>
    <workbookView xWindow="-30" yWindow="-16310" windowWidth="29020" windowHeight="15700" tabRatio="500" firstSheet="1" activeTab="2" xr2:uid="{00000000-000D-0000-FFFF-FFFF00000000}"/>
  </bookViews>
  <sheets>
    <sheet name="Structure_RMF" sheetId="6" r:id="rId1"/>
    <sheet name="Liste docs RMF" sheetId="1" r:id="rId2"/>
    <sheet name="GMED" sheetId="8" r:id="rId3"/>
    <sheet name="annexe II MDR" sheetId="9" r:id="rId4"/>
    <sheet name="Formés BDoCS" sheetId="4" r:id="rId5"/>
    <sheet name="Resp et docs" sheetId="3" r:id="rId6"/>
    <sheet name="Feuil1" sheetId="2" r:id="rId7"/>
    <sheet name="map Annexe II - RMF" sheetId="5" r:id="rId8"/>
  </sheets>
  <definedNames>
    <definedName name="_xlnm._FilterDatabase" localSheetId="1" hidden="1">'Liste docs RMF'!$A$1:$J$55</definedName>
    <definedName name="_xlnm._FilterDatabase" localSheetId="7" hidden="1">'map Annexe II - RMF'!$C$1:$G$67</definedName>
    <definedName name="_xlnm._FilterDatabase" localSheetId="0" hidden="1">Structure_RMF!$A$1:$B$36</definedName>
    <definedName name="_xlnm.Print_Area" localSheetId="2">GMED!$A$1:$E$103</definedName>
    <definedName name="_xlnm.Print_Titles" localSheetId="1">'Liste docs RMF'!$1:$1</definedName>
    <definedName name="_xlnm.Print_Titles" localSheetId="0">Structure_RMF!$1:$1</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8" i="5" l="1"/>
  <c r="A69" i="5"/>
  <c r="A70" i="5"/>
  <c r="A71" i="5"/>
  <c r="A72" i="5"/>
  <c r="A73" i="5"/>
  <c r="A74" i="5"/>
  <c r="A75" i="5"/>
  <c r="A76" i="5"/>
  <c r="A77" i="5"/>
  <c r="A78" i="5"/>
  <c r="B39" i="5"/>
  <c r="B41" i="5"/>
  <c r="B55" i="5"/>
  <c r="A6" i="5"/>
  <c r="A7" i="5"/>
  <c r="A8" i="5"/>
  <c r="A9" i="5"/>
  <c r="A10" i="5"/>
  <c r="A11" i="5"/>
  <c r="A12" i="5"/>
  <c r="A13" i="5"/>
  <c r="A14" i="5"/>
  <c r="A15" i="5"/>
  <c r="A16" i="5"/>
  <c r="B16" i="5" s="1"/>
  <c r="A17" i="5"/>
  <c r="A18" i="5"/>
  <c r="A19" i="5"/>
  <c r="B19" i="5" s="1"/>
  <c r="A20" i="5"/>
  <c r="A21" i="5"/>
  <c r="B21" i="5" s="1"/>
  <c r="A22" i="5"/>
  <c r="A23" i="5"/>
  <c r="A24" i="5"/>
  <c r="B24" i="5" s="1"/>
  <c r="A25" i="5"/>
  <c r="A26" i="5"/>
  <c r="A27" i="5"/>
  <c r="A28" i="5"/>
  <c r="A29" i="5"/>
  <c r="B29" i="5" s="1"/>
  <c r="A30" i="5"/>
  <c r="A31" i="5"/>
  <c r="A32" i="5"/>
  <c r="A33" i="5"/>
  <c r="A34" i="5"/>
  <c r="A35" i="5"/>
  <c r="B35" i="5" s="1"/>
  <c r="A36" i="5"/>
  <c r="B36" i="5" s="1"/>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3" i="5"/>
  <c r="B3" i="5" s="1"/>
  <c r="A4" i="5"/>
  <c r="A5" i="5"/>
  <c r="A2" i="5"/>
  <c r="B2" i="5" s="1"/>
  <c r="I7" i="5"/>
  <c r="I8" i="5"/>
  <c r="I9" i="5"/>
  <c r="I10" i="5"/>
  <c r="I11" i="5"/>
  <c r="I12" i="5"/>
  <c r="I13" i="5"/>
  <c r="I14" i="5"/>
  <c r="I15" i="5"/>
  <c r="I6" i="5"/>
  <c r="B21" i="4"/>
  <c r="B20" i="4"/>
  <c r="B4" i="5" l="1"/>
  <c r="B5" i="5" s="1"/>
  <c r="K16" i="5" a="1"/>
  <c r="K16" i="5" s="1"/>
  <c r="A19" i="4"/>
  <c r="I55" i="1"/>
  <c r="B6" i="5" l="1"/>
  <c r="B7" i="5" l="1"/>
  <c r="B8" i="5" s="1"/>
  <c r="B9" i="5" l="1"/>
  <c r="B10" i="5" s="1"/>
  <c r="B11" i="5" l="1"/>
  <c r="B12" i="5" s="1"/>
  <c r="B13" i="5" s="1"/>
  <c r="B14" i="5" l="1"/>
  <c r="B15" i="5" l="1"/>
  <c r="B17" i="5" l="1"/>
  <c r="B18" i="5" l="1"/>
  <c r="B20" i="5" l="1"/>
  <c r="B22" i="5" l="1"/>
  <c r="B23" i="5" l="1"/>
  <c r="B25" i="5" l="1"/>
  <c r="B26" i="5" s="1"/>
  <c r="B27" i="5" s="1"/>
  <c r="B28" i="5" s="1"/>
  <c r="B30" i="5" s="1"/>
  <c r="B31" i="5" s="1"/>
  <c r="B32" i="5" s="1"/>
  <c r="B33" i="5" s="1"/>
  <c r="B34" i="5" s="1"/>
  <c r="B37" i="5" s="1"/>
  <c r="B38" i="5" s="1"/>
  <c r="B40" i="5" s="1"/>
  <c r="B42" i="5" s="1"/>
  <c r="B43" i="5" s="1"/>
  <c r="B44" i="5" s="1"/>
  <c r="B45" i="5" s="1"/>
  <c r="B46" i="5" s="1"/>
  <c r="B47" i="5" s="1"/>
  <c r="B48" i="5" s="1"/>
  <c r="B49" i="5" s="1"/>
  <c r="B50" i="5" s="1"/>
  <c r="B51" i="5" s="1"/>
  <c r="B52" i="5" s="1"/>
  <c r="B53" i="5" s="1"/>
  <c r="B54" i="5" s="1"/>
  <c r="B56" i="5" s="1"/>
  <c r="B57" i="5" s="1"/>
  <c r="B58" i="5" s="1"/>
  <c r="B59" i="5" s="1"/>
  <c r="B60" i="5" s="1"/>
  <c r="B61" i="5" s="1"/>
  <c r="B62" i="5" s="1"/>
  <c r="B63" i="5" s="1"/>
  <c r="B64" i="5" s="1"/>
  <c r="B65" i="5" s="1"/>
  <c r="B66" i="5" s="1"/>
  <c r="B67" i="5" s="1"/>
  <c r="B68" i="5" s="1"/>
  <c r="B69" i="5" l="1"/>
  <c r="B70" i="5" s="1"/>
  <c r="B71" i="5" s="1"/>
  <c r="B72" i="5" s="1"/>
  <c r="B73" i="5" s="1"/>
  <c r="B74" i="5" s="1"/>
  <c r="B75" i="5" s="1"/>
  <c r="B76" i="5" s="1"/>
  <c r="B77" i="5" s="1"/>
  <c r="B7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Patrick Raugel (EXT)</author>
  </authors>
  <commentList>
    <comment ref="E1" authorId="0" shapeId="0" xr:uid="{3092508E-1E3B-4E09-8BE0-B9F51CBCB239}">
      <text>
        <r>
          <rPr>
            <b/>
            <sz val="9"/>
            <color indexed="81"/>
            <rFont val="Tahoma"/>
            <family val="2"/>
          </rPr>
          <t>Patrick Raugel (EXT):</t>
        </r>
        <r>
          <rPr>
            <sz val="9"/>
            <color indexed="81"/>
            <rFont val="Tahoma"/>
            <family val="2"/>
          </rPr>
          <t xml:space="preserve">
règle : quand une section comporte plusieurs documents, il est nécessaire de rédiger une note pour préciser l'organisation des documents et les relations.
Les noms de fichiers doivent être explicite.
Il sera utile de rédiger un document général qui précise comment naviguer dans la documentation technique.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Valerie Beaume</author>
  </authors>
  <commentList>
    <comment ref="P45" authorId="0" shapeId="0" xr:uid="{1B0CAFA1-B2B3-4E83-9819-BEEF222F07C8}">
      <text>
        <r>
          <rPr>
            <b/>
            <sz val="9"/>
            <color indexed="81"/>
            <rFont val="Tahoma"/>
            <family val="2"/>
          </rPr>
          <t>Valerie Beaume:</t>
        </r>
        <r>
          <rPr>
            <sz val="9"/>
            <color indexed="81"/>
            <rFont val="Tahoma"/>
            <family val="2"/>
          </rPr>
          <t xml:space="preserve">
s'intitule Risk Management Plan (PRMxxx)</t>
        </r>
      </text>
    </comment>
    <comment ref="T45" authorId="0" shapeId="0" xr:uid="{FF8DDDE7-5675-42A3-90D8-467D1EB8936D}">
      <text>
        <r>
          <rPr>
            <b/>
            <sz val="9"/>
            <color indexed="81"/>
            <rFont val="Tahoma"/>
            <family val="2"/>
          </rPr>
          <t>Valerie Beaume:</t>
        </r>
        <r>
          <rPr>
            <sz val="9"/>
            <color indexed="81"/>
            <rFont val="Tahoma"/>
            <family val="2"/>
          </rPr>
          <t xml:space="preserve">
Obligé de choisir 5.1, 5.2 ou 5.3 pour affecter les documents</t>
        </r>
      </text>
    </comment>
    <comment ref="T46" authorId="0" shapeId="0" xr:uid="{93FB2A08-7347-4786-8235-835A1D1499D3}">
      <text>
        <r>
          <rPr>
            <b/>
            <sz val="9"/>
            <color indexed="81"/>
            <rFont val="Tahoma"/>
            <family val="2"/>
          </rPr>
          <t>Valerie Beaume:</t>
        </r>
        <r>
          <rPr>
            <sz val="9"/>
            <color indexed="81"/>
            <rFont val="Tahoma"/>
            <family val="2"/>
          </rPr>
          <t xml:space="preserve">
Obligé de choisir 5.1, 5.2 ou 5.3 pour affecter les documents</t>
        </r>
      </text>
    </comment>
    <comment ref="P74" authorId="0" shapeId="0" xr:uid="{8E4A737C-6EB2-44FD-9DD6-1FF4D5656ADF}">
      <text>
        <r>
          <rPr>
            <b/>
            <sz val="9"/>
            <color indexed="81"/>
            <rFont val="Tahoma"/>
            <family val="2"/>
          </rPr>
          <t>Valerie Beaume:</t>
        </r>
        <r>
          <rPr>
            <sz val="9"/>
            <color indexed="81"/>
            <rFont val="Tahoma"/>
            <family val="2"/>
          </rPr>
          <t xml:space="preserve">
Form. Jamais officialisé dans l'IMS mais utilisé dans RMF. Stop le 14-11-2024</t>
        </r>
      </text>
    </comment>
    <comment ref="Q95" authorId="0" shapeId="0" xr:uid="{6FB088AF-2BF2-4304-87AA-F0A39204E46B}">
      <text>
        <r>
          <rPr>
            <b/>
            <sz val="9"/>
            <color indexed="81"/>
            <rFont val="Tahoma"/>
            <family val="2"/>
          </rPr>
          <t>Valerie Beaume:</t>
        </r>
        <r>
          <rPr>
            <sz val="9"/>
            <color indexed="81"/>
            <rFont val="Tahoma"/>
            <family val="2"/>
          </rPr>
          <t xml:space="preserve">
SER005</t>
        </r>
      </text>
    </comment>
    <comment ref="Q96" authorId="0" shapeId="0" xr:uid="{6B862B84-6CA7-4045-8AAE-4585D8611B72}">
      <text>
        <r>
          <rPr>
            <b/>
            <sz val="9"/>
            <color indexed="81"/>
            <rFont val="Tahoma"/>
            <family val="2"/>
          </rPr>
          <t>Valerie Beaume:</t>
        </r>
        <r>
          <rPr>
            <sz val="9"/>
            <color indexed="81"/>
            <rFont val="Tahoma"/>
            <family val="2"/>
          </rPr>
          <t xml:space="preserve">
SER005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<sst xmlns="http://schemas.openxmlformats.org/spreadsheetml/2006/main" count="2558" uniqueCount="1171">
  <si>
    <t>Chapter No 
(RMF Browser)</t>
  </si>
  <si>
    <t>Chapter/Filename
RMF Chasseneuil</t>
  </si>
  <si>
    <t xml:space="preserve"> Annex N°</t>
  </si>
  <si>
    <t>Document title</t>
  </si>
  <si>
    <t>Responsable</t>
  </si>
  <si>
    <t>Qui ?</t>
  </si>
  <si>
    <t>Nombre de documents</t>
  </si>
  <si>
    <t>Non</t>
  </si>
  <si>
    <t>Colonne1</t>
  </si>
  <si>
    <t>Colonne2</t>
  </si>
  <si>
    <t>Responsable formé
O/N</t>
  </si>
  <si>
    <t>Commentaire</t>
  </si>
  <si>
    <t>Doc IMS</t>
  </si>
  <si>
    <t>Formulaire</t>
  </si>
  <si>
    <t>Dans B.DoCS ?
O/N</t>
  </si>
  <si>
    <t>Si O :
A Finaliser
X</t>
  </si>
  <si>
    <t xml:space="preserve">Si O :
Effectif + Natif ok </t>
  </si>
  <si>
    <t>Onglet S2-RMF Structure O/N ?</t>
  </si>
  <si>
    <t>Doc associé à S2-RMF ? O/N</t>
  </si>
  <si>
    <t>1</t>
  </si>
  <si>
    <t>Device description and general specification</t>
  </si>
  <si>
    <t>RMF</t>
  </si>
  <si>
    <t>Réglementaire</t>
  </si>
  <si>
    <t>M. Bardon, C. Nandelec</t>
  </si>
  <si>
    <t>O</t>
  </si>
  <si>
    <t>4-1-07-003</t>
  </si>
  <si>
    <t>4-1-07-003-1</t>
  </si>
  <si>
    <t>1.1</t>
  </si>
  <si>
    <t>Device description</t>
  </si>
  <si>
    <t>1.1.1</t>
  </si>
  <si>
    <t>General description and intended use</t>
  </si>
  <si>
    <t>Annex03</t>
  </si>
  <si>
    <t>Glossary</t>
  </si>
  <si>
    <t>Developpement</t>
  </si>
  <si>
    <t xml:space="preserve">S. Remaudière, R. Bernard </t>
  </si>
  <si>
    <t>N</t>
  </si>
  <si>
    <t>Attente noms qui former</t>
  </si>
  <si>
    <t>5-1-04</t>
  </si>
  <si>
    <t>5-1-04-000-8</t>
  </si>
  <si>
    <t>1.1.2</t>
  </si>
  <si>
    <t>UDI</t>
  </si>
  <si>
    <t>1.1.3</t>
  </si>
  <si>
    <t>Accessories</t>
  </si>
  <si>
    <t>1.1.4</t>
  </si>
  <si>
    <t>Drawings, photographs and diagrams</t>
  </si>
  <si>
    <t>Annex09_8_A</t>
  </si>
  <si>
    <t>Drawings list</t>
  </si>
  <si>
    <t>Annex09_8_B</t>
  </si>
  <si>
    <t>Packaging drawings</t>
  </si>
  <si>
    <t>Annex09_8_C</t>
  </si>
  <si>
    <t>Components drawings</t>
  </si>
  <si>
    <t>1.1.5</t>
  </si>
  <si>
    <t>Description of used materials</t>
  </si>
  <si>
    <t>Annex09_2</t>
  </si>
  <si>
    <t>Global Material List</t>
  </si>
  <si>
    <t>?</t>
  </si>
  <si>
    <t>Annex18_1</t>
  </si>
  <si>
    <t xml:space="preserve">COM </t>
  </si>
  <si>
    <t>Annex18_2</t>
  </si>
  <si>
    <t>CMR ED</t>
  </si>
  <si>
    <t>1.1.6</t>
  </si>
  <si>
    <t>Material data sheets</t>
  </si>
  <si>
    <t>Annex09_2_A</t>
  </si>
  <si>
    <t>Raw materials</t>
  </si>
  <si>
    <t>Annex09_2_B</t>
  </si>
  <si>
    <t>Additives</t>
  </si>
  <si>
    <t>Annex09_2_C</t>
  </si>
  <si>
    <t>Processing aids</t>
  </si>
  <si>
    <t>Annex09_2_D</t>
  </si>
  <si>
    <t>Primary packaging</t>
  </si>
  <si>
    <t>1.2</t>
  </si>
  <si>
    <t>General specification</t>
  </si>
  <si>
    <t>1.2.1</t>
  </si>
  <si>
    <t>Product specification</t>
  </si>
  <si>
    <t>Annex09_6_1</t>
  </si>
  <si>
    <t>MMC</t>
  </si>
  <si>
    <t>PMO</t>
  </si>
  <si>
    <t>C. Caplier</t>
  </si>
  <si>
    <t>Reformer avec Développement</t>
  </si>
  <si>
    <t>5-1-00-001</t>
  </si>
  <si>
    <t>5-1-00-001-1</t>
  </si>
  <si>
    <t>Annex09_6_B</t>
  </si>
  <si>
    <t>GBOM</t>
  </si>
  <si>
    <t>5-1-04-000-6</t>
  </si>
  <si>
    <t>1.2.2</t>
  </si>
  <si>
    <t>Packaging specification</t>
  </si>
  <si>
    <t>Annex07_6</t>
  </si>
  <si>
    <t>4-2-05</t>
  </si>
  <si>
    <t>Template SPP</t>
  </si>
  <si>
    <t>1.2.3</t>
  </si>
  <si>
    <t>System, hardware and mechanical requirement specification</t>
  </si>
  <si>
    <t>1.3</t>
  </si>
  <si>
    <t>Similar and previous devices</t>
  </si>
  <si>
    <t>1.3.1</t>
  </si>
  <si>
    <t>Manufacturers previous generations</t>
  </si>
  <si>
    <t>1.3.2</t>
  </si>
  <si>
    <t>Similar devices in the market</t>
  </si>
  <si>
    <t>2</t>
  </si>
  <si>
    <t>Labeling</t>
  </si>
  <si>
    <t>2.1</t>
  </si>
  <si>
    <t>Labels on the device and packaging</t>
  </si>
  <si>
    <t>Annex12_2</t>
  </si>
  <si>
    <t>MSA
Labeling</t>
  </si>
  <si>
    <t>F. Clergeaud, A. Lecossier</t>
  </si>
  <si>
    <t>MSA : O
Labelling : reformer</t>
  </si>
  <si>
    <t>4-1-07-007</t>
  </si>
  <si>
    <t>4-1-07-007-4</t>
  </si>
  <si>
    <t>N/A</t>
  </si>
  <si>
    <t>2.2</t>
  </si>
  <si>
    <t>Instructions for use</t>
  </si>
  <si>
    <t>Annex12_1</t>
  </si>
  <si>
    <t>IFU</t>
  </si>
  <si>
    <t>Annex12_3_B</t>
  </si>
  <si>
    <t>Implant card</t>
  </si>
  <si>
    <t>Annex12-3_C</t>
  </si>
  <si>
    <t>patient label</t>
  </si>
  <si>
    <t>Annex12_3_D</t>
  </si>
  <si>
    <t>PIL</t>
  </si>
  <si>
    <t>2.3</t>
  </si>
  <si>
    <t>Promotional material</t>
  </si>
  <si>
    <t>Annex12_3_A</t>
  </si>
  <si>
    <t>Brochure</t>
  </si>
  <si>
    <t>4-1-07-009</t>
  </si>
  <si>
    <t>2.4</t>
  </si>
  <si>
    <t>Service manual</t>
  </si>
  <si>
    <t>3</t>
  </si>
  <si>
    <t>Design and manufacturing information</t>
  </si>
  <si>
    <t>3.1</t>
  </si>
  <si>
    <t>Design process</t>
  </si>
  <si>
    <t>Annex13_4</t>
  </si>
  <si>
    <t>design review</t>
  </si>
  <si>
    <t>5-1-00-002</t>
  </si>
  <si>
    <t>5-1-00-002-4</t>
  </si>
  <si>
    <t>3.2</t>
  </si>
  <si>
    <t>Design and manufacturing sites</t>
  </si>
  <si>
    <t>Annex14_6</t>
  </si>
  <si>
    <t>supplier list</t>
  </si>
  <si>
    <t>Achat</t>
  </si>
  <si>
    <t>C. Paillard</t>
  </si>
  <si>
    <t>A plannifier</t>
  </si>
  <si>
    <t>3.3</t>
  </si>
  <si>
    <t>Manufacturing process</t>
  </si>
  <si>
    <t>Annex13_2_D</t>
  </si>
  <si>
    <t>BOM</t>
  </si>
  <si>
    <t>Méthodes/Indus</t>
  </si>
  <si>
    <t>P. Rousselot, C. Bouchet, S. Girard ; A. David, K. Robert, C. Madronet</t>
  </si>
  <si>
    <t>Annex14_2</t>
  </si>
  <si>
    <t>FMCS</t>
  </si>
  <si>
    <t>5-1-06</t>
  </si>
  <si>
    <t>5-1-06-000-4</t>
  </si>
  <si>
    <t>FMC</t>
  </si>
  <si>
    <t>5-1-06-000-2</t>
  </si>
  <si>
    <t>annexes FMC (FP/PED/PLC/VPS)</t>
  </si>
  <si>
    <t>3.4</t>
  </si>
  <si>
    <t>Batch, lot and serial numbering system</t>
  </si>
  <si>
    <t>4</t>
  </si>
  <si>
    <t>Essential principles of safety and performance</t>
  </si>
  <si>
    <t>4.1</t>
  </si>
  <si>
    <t>Essential principles checklist</t>
  </si>
  <si>
    <t>Annex15_1</t>
  </si>
  <si>
    <t>GSPR</t>
  </si>
  <si>
    <t>4-1-07-003-2</t>
  </si>
  <si>
    <t>4.2</t>
  </si>
  <si>
    <t>List of applied standards</t>
  </si>
  <si>
    <t>Annex15_2_A</t>
  </si>
  <si>
    <t>Standard listing</t>
  </si>
  <si>
    <t>5-1-00-004</t>
  </si>
  <si>
    <t>5-1-00-004-1</t>
  </si>
  <si>
    <t>Annex15_2</t>
  </si>
  <si>
    <t>SAM</t>
  </si>
  <si>
    <t>5-1-00-004-2</t>
  </si>
  <si>
    <t>5</t>
  </si>
  <si>
    <t>Risk management</t>
  </si>
  <si>
    <t>Annex17</t>
  </si>
  <si>
    <t>PRM</t>
  </si>
  <si>
    <t>Gestion des risques</t>
  </si>
  <si>
    <t>C. Jung-Debote</t>
  </si>
  <si>
    <t>A Reprogrammer</t>
  </si>
  <si>
    <t>4-2-07</t>
  </si>
  <si>
    <t>4-2-07-000-1</t>
  </si>
  <si>
    <t>Annex16</t>
  </si>
  <si>
    <t>Benefit-risk</t>
  </si>
  <si>
    <t>4-2-07-000-5</t>
  </si>
  <si>
    <t>5.1</t>
  </si>
  <si>
    <t>Plan</t>
  </si>
  <si>
    <t>5.2</t>
  </si>
  <si>
    <t>Summary</t>
  </si>
  <si>
    <t>5.3</t>
  </si>
  <si>
    <t>Analysis</t>
  </si>
  <si>
    <t>6</t>
  </si>
  <si>
    <t>Product verification and validation</t>
  </si>
  <si>
    <t>6.1</t>
  </si>
  <si>
    <t>Design verification and preclinical tests</t>
  </si>
  <si>
    <t>6.1.1</t>
  </si>
  <si>
    <t>Design input and verification</t>
  </si>
  <si>
    <t>Annex13_2_B</t>
  </si>
  <si>
    <t>DVR</t>
  </si>
  <si>
    <t>Labo</t>
  </si>
  <si>
    <t>C. Hennault, A. Claisse, H. Vaillant</t>
  </si>
  <si>
    <t>5-1-05-010</t>
  </si>
  <si>
    <t>5-1-05-010-1</t>
  </si>
  <si>
    <t>Annexes DVR (PED)</t>
  </si>
  <si>
    <t>Template PED</t>
  </si>
  <si>
    <t>Annexes DVR (certif)</t>
  </si>
  <si>
    <t>Voir Hugo</t>
  </si>
  <si>
    <t>Annexes DVR (test report)</t>
  </si>
  <si>
    <t>Annex18_6</t>
  </si>
  <si>
    <t>FDC</t>
  </si>
  <si>
    <t>Pas de numéro</t>
  </si>
  <si>
    <t>Annex13_2_A</t>
  </si>
  <si>
    <t>MDC</t>
  </si>
  <si>
    <t>5-1-04-000-5</t>
  </si>
  <si>
    <t>6.1.1.1</t>
  </si>
  <si>
    <t>Requirement profile</t>
  </si>
  <si>
    <t>6.1.1.2</t>
  </si>
  <si>
    <t>Test specifications</t>
  </si>
  <si>
    <t>6.1.1.3</t>
  </si>
  <si>
    <t>Test plans</t>
  </si>
  <si>
    <t>6.1.1.4</t>
  </si>
  <si>
    <t>Test methods</t>
  </si>
  <si>
    <t>6.1.1.5</t>
  </si>
  <si>
    <t>Test protocols</t>
  </si>
  <si>
    <t>6.1.1.6</t>
  </si>
  <si>
    <t>Certificates of analysis</t>
  </si>
  <si>
    <t>6.1.1.7</t>
  </si>
  <si>
    <t>Test reports</t>
  </si>
  <si>
    <t>6.1.2</t>
  </si>
  <si>
    <t>Biocompatibility and preclinical studies</t>
  </si>
  <si>
    <t>6.1.2.1</t>
  </si>
  <si>
    <t>Evaluation</t>
  </si>
  <si>
    <t>AnnexC2</t>
  </si>
  <si>
    <t>Biological Risk Assessment (BRA)</t>
  </si>
  <si>
    <t>Biocomp</t>
  </si>
  <si>
    <t>M. Bardon</t>
  </si>
  <si>
    <t>5-1-05-003</t>
  </si>
  <si>
    <t>5-1-05-003-2</t>
  </si>
  <si>
    <t>Biological Evaluation Report (BER)</t>
  </si>
  <si>
    <t>5-1-05-003-1</t>
  </si>
  <si>
    <t>6.1.2.2</t>
  </si>
  <si>
    <t>Test Reports</t>
  </si>
  <si>
    <t>Docs fournisseurs</t>
  </si>
  <si>
    <t>6.1.2.3</t>
  </si>
  <si>
    <t>Additional documentation</t>
  </si>
  <si>
    <t>Literature Search</t>
  </si>
  <si>
    <t>Chemical Risk Assessment (CRA)</t>
  </si>
  <si>
    <t>5-1-05-003-3</t>
  </si>
  <si>
    <t>Supplier data</t>
  </si>
  <si>
    <t>GLP Certificates</t>
  </si>
  <si>
    <t>Biological Evaluation of change (BEC)</t>
  </si>
  <si>
    <t>5-1-05-003-5</t>
  </si>
  <si>
    <t>6.1.3</t>
  </si>
  <si>
    <t>Cleaning and re-processing</t>
  </si>
  <si>
    <t>6.1.4</t>
  </si>
  <si>
    <t>Electrical safety and electromagnetic compatibility</t>
  </si>
  <si>
    <t>6.1.5</t>
  </si>
  <si>
    <t>Stability and shelf-life</t>
  </si>
  <si>
    <t>6.1.6</t>
  </si>
  <si>
    <t>Performance tests</t>
  </si>
  <si>
    <t>6.1.7</t>
  </si>
  <si>
    <t>Evaluation of design verification</t>
  </si>
  <si>
    <t>6.2</t>
  </si>
  <si>
    <t>Clinical evaluation</t>
  </si>
  <si>
    <t>6.2.1</t>
  </si>
  <si>
    <t>AnnexC1_A</t>
  </si>
  <si>
    <t>CEP</t>
  </si>
  <si>
    <t>MSA</t>
  </si>
  <si>
    <t>F. Clergeaud</t>
  </si>
  <si>
    <t>4-1-07-001</t>
  </si>
  <si>
    <t>4-1-07-001-1</t>
  </si>
  <si>
    <t>6.2.2</t>
  </si>
  <si>
    <t>Report</t>
  </si>
  <si>
    <t>Annex C1_B</t>
  </si>
  <si>
    <t>CER</t>
  </si>
  <si>
    <t>4-1-07-001-2</t>
  </si>
  <si>
    <t>annexes CER</t>
  </si>
  <si>
    <t>6.2.3</t>
  </si>
  <si>
    <t>Post marketing clinical follow-up plan</t>
  </si>
  <si>
    <t>Annex19_2</t>
  </si>
  <si>
    <t>PMCF Plan</t>
  </si>
  <si>
    <t>4-1-05</t>
  </si>
  <si>
    <t>4-1-05-000-4</t>
  </si>
  <si>
    <t>6.2.4</t>
  </si>
  <si>
    <t>PMCF evaluation report and justification for no PMCF</t>
  </si>
  <si>
    <t>Annex19_5</t>
  </si>
  <si>
    <t>PMCF Report</t>
  </si>
  <si>
    <t>4-1-05-000-5</t>
  </si>
  <si>
    <t>6.2.5</t>
  </si>
  <si>
    <t>Summary of safety and clinical performance</t>
  </si>
  <si>
    <t>Annex C1_C</t>
  </si>
  <si>
    <t>SSCP</t>
  </si>
  <si>
    <t>4-1-07-003-3</t>
  </si>
  <si>
    <t>6.2.6</t>
  </si>
  <si>
    <t>Clinical studies and user surveys</t>
  </si>
  <si>
    <t>6.2.7</t>
  </si>
  <si>
    <t>Literature and register data</t>
  </si>
  <si>
    <t>6.3</t>
  </si>
  <si>
    <t>Validation</t>
  </si>
  <si>
    <t>Annex13_2_C</t>
  </si>
  <si>
    <t>DVS</t>
  </si>
  <si>
    <t>5-1-08</t>
  </si>
  <si>
    <t>5-1-08-000-14</t>
  </si>
  <si>
    <t>6.3.1</t>
  </si>
  <si>
    <t>Usability</t>
  </si>
  <si>
    <t>Human Factor Engineering</t>
  </si>
  <si>
    <t>5-1-00-013</t>
  </si>
  <si>
    <t>6.3.2</t>
  </si>
  <si>
    <t>Packaging validation</t>
  </si>
  <si>
    <t>AnnexC4</t>
  </si>
  <si>
    <t>Packaging</t>
  </si>
  <si>
    <t>K. Robert</t>
  </si>
  <si>
    <t>5-1-06-002</t>
  </si>
  <si>
    <t>5-1-06-002-1</t>
  </si>
  <si>
    <t>annexes PVR</t>
  </si>
  <si>
    <t>différents docs (SP, AMD, etc…)</t>
  </si>
  <si>
    <t>6.3.2.1</t>
  </si>
  <si>
    <t>6.3.2.2</t>
  </si>
  <si>
    <t>Validation report</t>
  </si>
  <si>
    <t>6.3.3</t>
  </si>
  <si>
    <t>Sterilization validation</t>
  </si>
  <si>
    <t>AnnexC5</t>
  </si>
  <si>
    <t>Sterilization</t>
  </si>
  <si>
    <t>Microbiology</t>
  </si>
  <si>
    <t>A. Janicot</t>
  </si>
  <si>
    <t>N'utilise pas à ce jour</t>
  </si>
  <si>
    <t>5-1-06-006</t>
  </si>
  <si>
    <t>5-1-06-006-5</t>
  </si>
  <si>
    <t>annexes SER</t>
  </si>
  <si>
    <t>6.3.3.1</t>
  </si>
  <si>
    <t>SAL certificate</t>
  </si>
  <si>
    <t>6.3.3.2</t>
  </si>
  <si>
    <t>6.3.3.3</t>
  </si>
  <si>
    <t>6.3.4</t>
  </si>
  <si>
    <t>Manufacturing validation</t>
  </si>
  <si>
    <t>Annex14_4</t>
  </si>
  <si>
    <t>validated processes</t>
  </si>
  <si>
    <t>5-1-06-000-3</t>
  </si>
  <si>
    <t>AnnexC3</t>
  </si>
  <si>
    <t>Cleaning</t>
  </si>
  <si>
    <t>5-1-06-009-2</t>
  </si>
  <si>
    <t>6.4</t>
  </si>
  <si>
    <t>Software</t>
  </si>
  <si>
    <t>6.4.1</t>
  </si>
  <si>
    <t>Architecture</t>
  </si>
  <si>
    <t>6.4.2</t>
  </si>
  <si>
    <t>Configuration management and version description</t>
  </si>
  <si>
    <t>6.4.3</t>
  </si>
  <si>
    <t>Development plan</t>
  </si>
  <si>
    <t>6.4.4</t>
  </si>
  <si>
    <t>Specifications</t>
  </si>
  <si>
    <t>6.4.5</t>
  </si>
  <si>
    <t>Verification reports</t>
  </si>
  <si>
    <t>6.4.6</t>
  </si>
  <si>
    <t>Product validation report</t>
  </si>
  <si>
    <t>6.4.7</t>
  </si>
  <si>
    <t>Revision level history</t>
  </si>
  <si>
    <t>6.4.8</t>
  </si>
  <si>
    <t>Unresolved anomalies</t>
  </si>
  <si>
    <t>6.4.9</t>
  </si>
  <si>
    <t>Classification</t>
  </si>
  <si>
    <t>6.4.10</t>
  </si>
  <si>
    <t>Release</t>
  </si>
  <si>
    <t>6.5</t>
  </si>
  <si>
    <t>Medicinal substances</t>
  </si>
  <si>
    <t>6.6</t>
  </si>
  <si>
    <t>Biological safety</t>
  </si>
  <si>
    <t>7</t>
  </si>
  <si>
    <t>Certificates</t>
  </si>
  <si>
    <t>7.1</t>
  </si>
  <si>
    <t>Declaration of conformity</t>
  </si>
  <si>
    <t>7.2</t>
  </si>
  <si>
    <t>Certificate of conformity</t>
  </si>
  <si>
    <t>Annex04_3</t>
  </si>
  <si>
    <t>EC certificates (legacy devices)</t>
  </si>
  <si>
    <t>Doc G-Med</t>
  </si>
  <si>
    <t>7.3</t>
  </si>
  <si>
    <t>Company certificates</t>
  </si>
  <si>
    <t>Annex01</t>
  </si>
  <si>
    <t>QMS certificates</t>
  </si>
  <si>
    <t>4-1-07</t>
  </si>
  <si>
    <t>8</t>
  </si>
  <si>
    <t>Post market surveillance</t>
  </si>
  <si>
    <t>Annex19_1</t>
  </si>
  <si>
    <t>PMS Plan</t>
  </si>
  <si>
    <t>PMS</t>
  </si>
  <si>
    <t>4-1-05-000-2</t>
  </si>
  <si>
    <t>Annex19_3</t>
  </si>
  <si>
    <t>PSUR</t>
  </si>
  <si>
    <t>4-1-05-000-3</t>
  </si>
  <si>
    <t>9</t>
  </si>
  <si>
    <t>Administrative documents</t>
  </si>
  <si>
    <t>9.1</t>
  </si>
  <si>
    <t>Declaration letters</t>
  </si>
  <si>
    <t>Annex05</t>
  </si>
  <si>
    <t>Statements</t>
  </si>
  <si>
    <t>statement notified body</t>
  </si>
  <si>
    <t>statement intended purpose</t>
  </si>
  <si>
    <t>9.2</t>
  </si>
  <si>
    <t>Registration status</t>
  </si>
  <si>
    <t>rapports GMED</t>
  </si>
  <si>
    <t>9.3</t>
  </si>
  <si>
    <t>RMF changes</t>
  </si>
  <si>
    <t>HISTORY</t>
  </si>
  <si>
    <t>9.4</t>
  </si>
  <si>
    <t>Other documents</t>
  </si>
  <si>
    <t>Annex10_1</t>
  </si>
  <si>
    <t>Changes</t>
  </si>
  <si>
    <t>4-2-09</t>
  </si>
  <si>
    <t>Annex10_1_2</t>
  </si>
  <si>
    <t>Changes summaries</t>
  </si>
  <si>
    <t>4-2-09-000-9</t>
  </si>
  <si>
    <t>(vide)</t>
  </si>
  <si>
    <t>(Tous)</t>
  </si>
  <si>
    <t>Documents du RMF</t>
  </si>
  <si>
    <t>Nbre</t>
  </si>
  <si>
    <t>Annexes CER</t>
  </si>
  <si>
    <t>Annexes FMC (FP/PED/PLC/VPS)</t>
  </si>
  <si>
    <t>Annexes PVR</t>
  </si>
  <si>
    <t>Annexes SER</t>
  </si>
  <si>
    <t>Design review</t>
  </si>
  <si>
    <t>Patient label</t>
  </si>
  <si>
    <t>Rapports GMED</t>
  </si>
  <si>
    <t>Statement intended purpose</t>
  </si>
  <si>
    <t>Statement notified body</t>
  </si>
  <si>
    <t>Supplier list</t>
  </si>
  <si>
    <t>Validated processes</t>
  </si>
  <si>
    <t>Colonne3</t>
  </si>
  <si>
    <t>Bulk packaging specification</t>
  </si>
  <si>
    <t>common practice and recommandations, including precautions to ensure performance and safety</t>
  </si>
  <si>
    <t>audit scope</t>
  </si>
  <si>
    <t>X</t>
  </si>
  <si>
    <t>No.</t>
  </si>
  <si>
    <t>RMF-chapter</t>
  </si>
  <si>
    <t>DEVICE DESCRIPTION AND SPECIFICATION, INCLUDING VARIANTS AND ACCESSORIES</t>
  </si>
  <si>
    <t>Device description and specification</t>
  </si>
  <si>
    <t>1.1.a)</t>
  </si>
  <si>
    <t>product or trade name and a general description of the device including its intended purpose and intended users;</t>
  </si>
  <si>
    <t>1.1.b)</t>
  </si>
  <si>
    <t>the Basic UDI-DI as referred to in Part C of Annex VI assigned by the manufacturer to the device in question, as soon as identification of this device becomes based on a UDI system, or otherwise a clear identification by means of product code, catalogue number or other unambiguous reference allowing traceability;</t>
  </si>
  <si>
    <t>1.1.c)</t>
  </si>
  <si>
    <t>the intended patient population and medical conditions to be diagnosed, treated and/or monitored and other considerations such as patient selection criteria, indications, contra-indications, warnings;</t>
  </si>
  <si>
    <t>1.1.d)</t>
  </si>
  <si>
    <t>principles of operation of the device and its mode of action, scientifically demonstrated if necessary;</t>
  </si>
  <si>
    <t>1.1.e)</t>
  </si>
  <si>
    <t>the rationale for the qualification of the product as a device;</t>
  </si>
  <si>
    <t>1.1.f)</t>
  </si>
  <si>
    <t>1.1.g)</t>
  </si>
  <si>
    <t>an explanation of any new features;</t>
  </si>
  <si>
    <t>1.1.h)</t>
  </si>
  <si>
    <t>a description of the accessories for a device, other devices and other products that are not devices, which are intended to be used in combination with it;</t>
  </si>
  <si>
    <t>1.1.i)</t>
  </si>
  <si>
    <t>a description or complete list of the various configurations/variants of the device that are intended to be made available in the market;</t>
  </si>
  <si>
    <t>1.1.j)</t>
  </si>
  <si>
    <t>a general description of the key functional elements, e.g. its parts/components (including software if appropriate), formulation, composition, functionality and, where relevant, qualitative and quantitative composition. Where appropriate, this shall include labelled pictorial representations (e.g. diagrams, photographs, and drawings), clearly indicating key parts/components, including sufficient explanation to understand the drawings and diagrams;</t>
  </si>
  <si>
    <t>1.1.k)</t>
  </si>
  <si>
    <t>a description of the raw materials incorporated into key functional elements and those making either direct contact with the human body or indirect contact with the body, e.g., during extracorporeal circulation of body fluids;</t>
  </si>
  <si>
    <t>1.1.l)</t>
  </si>
  <si>
    <t>Reference to previous and similar generations of the device</t>
  </si>
  <si>
    <t>1.2.a)</t>
  </si>
  <si>
    <t>an overview of the previous generation or generations of the device produced by the manufacturer, where such devices exist;</t>
  </si>
  <si>
    <t>1.2.b)</t>
  </si>
  <si>
    <t>an overview of identified similar devices available in the European Union or international markets, where such devices exist.</t>
  </si>
  <si>
    <t>INFORMATION TO BE PROVIDED BY THE</t>
  </si>
  <si>
    <t>MANUFACTURER</t>
  </si>
  <si>
    <t>2-</t>
  </si>
  <si>
    <t>A complete set of:</t>
  </si>
  <si>
    <t>label or labels on the device and on its packaging, such as single unit packaging, sales packaging, transport packaging in case of specific management conditions, in the languages accepted in the Member States where the device is to be sold; and</t>
  </si>
  <si>
    <t>instructions for use in the languages accepted in the Member States where the device is to be sold.</t>
  </si>
  <si>
    <t>DESIGN AND MANUFACTURING</t>
  </si>
  <si>
    <t>INFORMATION</t>
  </si>
  <si>
    <t>3.a)</t>
  </si>
  <si>
    <t>information to allow the design stages applied to the device to be understood;</t>
  </si>
  <si>
    <t>3.b)</t>
  </si>
  <si>
    <t>complete information and specifications, including manufacturing processes and their validation, their adjuvants, continuous monitoring and final product testing. Data shall be fully included in the technical documentation;</t>
  </si>
  <si>
    <t>3.c)</t>
  </si>
  <si>
    <t>identification of all sites, including suppliers and sub-contractors, where design and manufacturing activities are performed.</t>
  </si>
  <si>
    <t>GENERAL SAFETY AND PERFORMANCE REQUIREMENTS</t>
  </si>
  <si>
    <t>4-</t>
  </si>
  <si>
    <t>The documentation shall contain information for the demonstration of conformity with the general safety and performance requirements set out in Annex I, which are applicable to the device, considering its intended purpose, and shall include a justification, validation and verification of the solutions adopted to meet those requirements. The demonstration of conformity shall include:</t>
  </si>
  <si>
    <t>4.a)</t>
  </si>
  <si>
    <t>general safety and performance requirements that apply to the device and an explanation as to why others do not apply;</t>
  </si>
  <si>
    <t>4.b)</t>
  </si>
  <si>
    <t>method or methods used to demonstrate conformity with each applicable general safety and performance requirement;</t>
  </si>
  <si>
    <t>4.c)</t>
  </si>
  <si>
    <t>harmonized standards, CS or other solutions applied; and</t>
  </si>
  <si>
    <t>4.d)</t>
  </si>
  <si>
    <t>precise identification of the controlled documents, providing evidence of conformity with each harmonized standard, CS or other method applied to demonstrate conformity with the general safety and performance requirements. The information referred to under this point shall incorporate a cross-reference to the location of such evidence within the full technical documentation and, if applicable, the summary technical documentation.</t>
  </si>
  <si>
    <t>5-</t>
  </si>
  <si>
    <t>5.a)</t>
  </si>
  <si>
    <t>the benefit-risk analysis referred to in Sections 1 and 8 of Annex I, and</t>
  </si>
  <si>
    <t>5.b)</t>
  </si>
  <si>
    <t>solutions adopted and results of the risk management referred to in Section 3 of Annex I.</t>
  </si>
  <si>
    <t>PRODUCT VERIFICATION AND VALIDATION</t>
  </si>
  <si>
    <t>6-</t>
  </si>
  <si>
    <t>The documentation shall contain the results and critical analyses of all verifications and validation tests and/or studies undertaken to demonstrate conformity of the device with the requirements of this Regulation, and in particular the applicable general safety and performance requirements.</t>
  </si>
  <si>
    <t>Pre-clinical and clinical data</t>
  </si>
  <si>
    <t>6.1.a)</t>
  </si>
  <si>
    <t>results of tests, such as engineering, laboratory, simulated use and animal tests, and evaluation of published literature applicable to the device, considering its intended purpose, or to similar devices, regarding the pre-clinical safety of the device and its conformity with the specifications;</t>
  </si>
  <si>
    <t>6.1.b)</t>
  </si>
  <si>
    <t>detailed information regarding test design, complete test or study protocols, methods of data analysis, in addition to data summaries and test conclusions regarding in particular:</t>
  </si>
  <si>
    <t>6.1.b)-</t>
  </si>
  <si>
    <t>biocompatibility of the device, including the identification of all materials in direct or indirect contact with the patient or user;</t>
  </si>
  <si>
    <t>electrical safety and electromagnetic compatibility;</t>
  </si>
  <si>
    <t>software verification and validation (describing the software design and development process and evidence of the validation of the software, as used in the finished device. This information shall typically include the summary results of all verification, validation and testing performed both in-house and in a simulated or actual user environment prior to final release. It shall also address all of the different hardware configurations and, where applicable, operating systems identified in the information supplied by the manufacturer);</t>
  </si>
  <si>
    <t>stability, including shelf life; and</t>
  </si>
  <si>
    <t>Stability and shelf- life</t>
  </si>
  <si>
    <t>performance and safety.</t>
  </si>
  <si>
    <t>Where applicable, conformity with the provisions of Directive 2004/10/EC of the European Parliament and of the Council (1) shall be demonstrated.</t>
  </si>
  <si>
    <t>Where no new testing has been undertaken, the documentation shall incorporate a rationale for that decision. An example of such a rationale would be that biocompatibility testing on identical materials was conducted when those materials were incorporated in a previous version of the device that has been legally placed on the market or put into service;</t>
  </si>
  <si>
    <t>6.1.c)</t>
  </si>
  <si>
    <t>clinical evaluation report and its updates and the clinical evaluation plan referred to in Article 61(12) and Part A of Annex XIV;</t>
  </si>
  <si>
    <t>6.1.d)</t>
  </si>
  <si>
    <t>PMCF plan and PMCF evaluation report referred to in Part B of Annex XIV or a justification why a PMCF is not applicable.</t>
  </si>
  <si>
    <t>Additional information required in specific cases</t>
  </si>
  <si>
    <t>6.2.a)</t>
  </si>
  <si>
    <t>Where a device incorporates, as an integral part, a substance which, if used separately, may be considered to be a medicinal product within the meaning of point two of Article 1 of Directive 2001/83/EC, including a medicinal product derived from human blood or human plasma, as referred to in the first subparagraph of Article 1(8), a statement indicating this fact. In this case, the documentation shall identify the source of that substance and contain the data of the tests conducted to assess its safety, quality and usefulness, by considering the intended purpose of the device.</t>
  </si>
  <si>
    <t>6.2.b)</t>
  </si>
  <si>
    <t>Where a device is manufactured utilizing tissues or cells of human or animal origin, or their derivatives, and is covered by this Regulation in accordance with points (f) and (g) of Article 1(6, and where a device incorporates, as an integral part, tissues or cells of human origin or their byproducts, which have an action ancillary to that of the device and is covered by this Regulation in accordance with the first subparagraph of Article 1(10), a statement indicating this fact. In such a case, the documentation shall identify all materials of human or animal origin used and provide detailed information concerning the conformity with Sections 13.1. or 13.2., respectively, of Annex I.</t>
  </si>
  <si>
    <t>6.2.c)</t>
  </si>
  <si>
    <t>In the case of devices that are composed of substances or combinations of substances that are intended to be introduced into the human body and that are absorbed by or locally dispersed in the human body, detailed information, including test design, complete test or study protocols, methods of data analysis, and data summaries and test conclusions, regarding studies in relation to:</t>
  </si>
  <si>
    <t>6.2.c)-</t>
  </si>
  <si>
    <t>absorption, distribution, metabolism and excretion;</t>
  </si>
  <si>
    <t>possible interactions of those substances, or their products of metabolism in the human body, with other devices, medicinal products or other substances, considering the target population, and its associated medical conditions;</t>
  </si>
  <si>
    <t>local tolerance; and</t>
  </si>
  <si>
    <t>toxicity, including single-dose toxicity, repeat-dose toxicity, genotoxicity, carcinogenicity and reproductive and developmental toxicity, as applicable depending on the level and nature of exposure to the device.</t>
  </si>
  <si>
    <t>In the absence of such studies, a justification shall be provided.</t>
  </si>
  <si>
    <t>6.2.d)</t>
  </si>
  <si>
    <t>1.1.b)-</t>
  </si>
  <si>
    <t>suitable indicators and threshold values that shall be used in the continuous reassessment of the benefit-risk analysis and of the risk management as referred to in Section 3 of Annex I;</t>
  </si>
  <si>
    <t>effective and appropriate methods and tools to investigate complaints and analyze market-related experience collected in the field;</t>
  </si>
  <si>
    <t>methods and protocols to manage the events subject to the trend report as provided for in Article 88, including the methods and protocols to be used to establish any statistically significant increase in the frequency or severity of incidents as well as the observation period;</t>
  </si>
  <si>
    <t>methods and protocols to communicate effectively with competent authorities, notified bodies, economic operators and users;</t>
  </si>
  <si>
    <t>reference to procedures to fulfil the manufacturers obligations provisioned in Articles 83, 84 and 86;</t>
  </si>
  <si>
    <t>systematic procedures to identify and initiate appropriate measures, including corrective actions;</t>
  </si>
  <si>
    <t>effective tools to trace and identify devices for which corrective actions might be necessary; and</t>
  </si>
  <si>
    <t>a PMCF plan as referred to in Part B of Annex XIV, or a justification as to why a PMCF is not applicable.</t>
  </si>
  <si>
    <t>PSUR referred to in Article 86 and the post- market surveillance report referred to in Article 85.</t>
  </si>
  <si>
    <t>commercial brochure, if any</t>
  </si>
  <si>
    <t>Annex II 2017/745</t>
  </si>
  <si>
    <t>The documentation shall contain information on:</t>
  </si>
  <si>
    <t>Clinical evaluation plan</t>
  </si>
  <si>
    <t>Clinical evaluation report</t>
  </si>
  <si>
    <t>content of RMF chapter</t>
  </si>
  <si>
    <t>technical specifications, such as features, dimensions and performance attributes, of the device and any variants/configurations and accessories that would typically appear in the product specification provided to the user, for example, in brochures, catalogues and similar publications.</t>
  </si>
  <si>
    <t>the risk class of the device and the justification for the classification rule(s) applied in accordance with Annex VIII;</t>
  </si>
  <si>
    <t>physical, chemical and microbiological characterization;</t>
  </si>
  <si>
    <t>In the case of devices containing CMR or endocrine- disrupting substances referred to in Section 10.4.1 of Annex I, the justification referred to in Section 10.4.2 of that Annex.</t>
  </si>
  <si>
    <t>1-</t>
  </si>
  <si>
    <t>3-</t>
  </si>
  <si>
    <t>BENEFIT-RISK ANALYSIS AND RISK MANAGEMENT</t>
  </si>
  <si>
    <t>In the case of devices placed on the market in a sterile or defined microbiological condition, a description of the environmental conditions for the relevant manufacturing steps. In the case of devices placed on the market in a sterile condition, a description of the methods used, including the validation reports, with respect to packaging, sterilisation and maintenance of sterility. The validation report shall address bioburden testing, pyrogen testing and, if applicable, testing for sterilant residues.</t>
  </si>
  <si>
    <t xml:space="preserve">	
In the case of devices placed on the market with a measuring function, a description of the methods used in order to ensure the accuracy as given in the specifications.</t>
  </si>
  <si>
    <t>If the device is to be connected to other device(s) in order to operate as intended, a description of this combination/configuration including proof that it conforms to the general safety and performance requirements when connected to any such device(s) having regard to the characteristics specified by the manufacturer.</t>
  </si>
  <si>
    <t>6.2.e)</t>
  </si>
  <si>
    <t>6.2.f)</t>
  </si>
  <si>
    <t>6.2.g)</t>
  </si>
  <si>
    <t>x</t>
  </si>
  <si>
    <t>w</t>
  </si>
  <si>
    <t>doc</t>
  </si>
  <si>
    <t>exluded</t>
  </si>
  <si>
    <t>Do not include</t>
  </si>
  <si>
    <t>an history of the device with the list of the changes, highlighting the ones with an impact on clinical outcomes.</t>
  </si>
  <si>
    <t>the details of the changes</t>
  </si>
  <si>
    <t>Include in document &amp; recommandations</t>
  </si>
  <si>
    <t>the technical comparison of the devices.</t>
  </si>
  <si>
    <t>an overview of the devices on the market having the same intended use. Provide in appendices the brochures of said devices.</t>
  </si>
  <si>
    <t>copy of the IFU + reference and version of the IFU</t>
  </si>
  <si>
    <t>copy of the brochures + link to webpage</t>
  </si>
  <si>
    <t>name and address of Bbbraun Chasseneuil</t>
  </si>
  <si>
    <t>Risk management plan</t>
  </si>
  <si>
    <t>Risk management summary</t>
  </si>
  <si>
    <t>Risks analysis</t>
  </si>
  <si>
    <t>Clinical evaluation Plan</t>
  </si>
  <si>
    <t>PMCF evaluation report or justification for no PMCF</t>
  </si>
  <si>
    <t>NC à adresser</t>
  </si>
  <si>
    <t xml:space="preserve">list of applicable standards to the device. </t>
  </si>
  <si>
    <t>all the standards monitored on site</t>
  </si>
  <si>
    <t>risk management plan according EN ISO 14971 section XX</t>
  </si>
  <si>
    <t>risk management report according EN ISO 14971 section XX</t>
  </si>
  <si>
    <t>risks analysis, according EN ISO 14971, section XXX</t>
  </si>
  <si>
    <t>matrice de traceabilité de conception ?</t>
  </si>
  <si>
    <t>plans de tests</t>
  </si>
  <si>
    <t>BER</t>
  </si>
  <si>
    <t>TRA ?</t>
  </si>
  <si>
    <t>manufacturing workflows. List of suppliers.</t>
  </si>
  <si>
    <t>Title</t>
  </si>
  <si>
    <t>Name and general description</t>
  </si>
  <si>
    <t>Basic UDI</t>
  </si>
  <si>
    <t>Intended patient population</t>
  </si>
  <si>
    <t>Principle of operation</t>
  </si>
  <si>
    <t>Rationale for medical device</t>
  </si>
  <si>
    <t>Device classification and justification</t>
  </si>
  <si>
    <t>Novelty</t>
  </si>
  <si>
    <t>Various configurations</t>
  </si>
  <si>
    <t>Explanation of the functional elements</t>
  </si>
  <si>
    <t>Materials and contact with body</t>
  </si>
  <si>
    <t>Product specifications for users</t>
  </si>
  <si>
    <t>History of device</t>
  </si>
  <si>
    <t>Similar devices</t>
  </si>
  <si>
    <t>Etiquettes et traductions</t>
  </si>
  <si>
    <t>Instructions d'utilisation et traductions</t>
  </si>
  <si>
    <t>Assurance stérilité</t>
  </si>
  <si>
    <t>Fonction de mesurage</t>
  </si>
  <si>
    <t>Usage combiné de dispositifs</t>
  </si>
  <si>
    <t>Manufacturing workflows</t>
  </si>
  <si>
    <t>Manufacturing processes
Process validation
Adjuvants
Monitoring
Final testing and release</t>
  </si>
  <si>
    <t>Design and manufacturing sites
Control of supply chain</t>
  </si>
  <si>
    <t>GSPR checklist</t>
  </si>
  <si>
    <t>Applicable standards</t>
  </si>
  <si>
    <t>Design control traceability matrix</t>
  </si>
  <si>
    <t>Methods of verification and validation</t>
  </si>
  <si>
    <t>Test plans
Tests protocols
Tests reports</t>
  </si>
  <si>
    <t>Risk benefit report</t>
  </si>
  <si>
    <t>List of the accessories and their use</t>
  </si>
  <si>
    <t>pictures with proper legend, indicating the name and the identification of the components</t>
  </si>
  <si>
    <t xml:space="preserve">list of materials and </t>
  </si>
  <si>
    <t>Référence</t>
  </si>
  <si>
    <t>Exigence</t>
  </si>
  <si>
    <t>1.1.a</t>
  </si>
  <si>
    <t>Nom ou dénomination commerciale du dispositif, description générale, destination et utilisateurs visés</t>
  </si>
  <si>
    <t>1.1.b</t>
  </si>
  <si>
    <t>IUD-ID (ou autre identification univoque permettant la traçabilité)</t>
  </si>
  <si>
    <t>1.1.c</t>
  </si>
  <si>
    <t>Population cible, indications, contre-indications, mises en garde et critères de sélection des patients</t>
  </si>
  <si>
    <t>1.1.d</t>
  </si>
  <si>
    <t>Principes de fonctionnement et mode d'action du dispositif</t>
  </si>
  <si>
    <t>1.1.e</t>
  </si>
  <si>
    <t>Justification du statut de dispositif médical</t>
  </si>
  <si>
    <t>1.1.f</t>
  </si>
  <si>
    <t>Classe de risque et justification de la règle de classification appliquée</t>
  </si>
  <si>
    <t>1.1.g</t>
  </si>
  <si>
    <t>Description de toute nouvelle caractéristique</t>
  </si>
  <si>
    <t>1.1.h</t>
  </si>
  <si>
    <t>Description des accessoires, autres dispositifs et produits utilisés en combinaison</t>
  </si>
  <si>
    <t>1.1.i</t>
  </si>
  <si>
    <t>Liste ou description des configurations et variantes commercialisées</t>
  </si>
  <si>
    <t>1.1.j</t>
  </si>
  <si>
    <t>Description des composants et fonctions clés (logiciel inclus le cas échéant), composition et représentations visuelles associées</t>
  </si>
  <si>
    <t>1.1.k</t>
  </si>
  <si>
    <t>Description des matières premières des éléments fonctionnels clés et des éléments en contact avec le corps humain</t>
  </si>
  <si>
    <t>1.1.l</t>
  </si>
  <si>
    <t>Spécifications techniques, dimensions, caractéristiques et performances du dispositif, de ses variantes et accessoires</t>
  </si>
  <si>
    <t>1.2.a</t>
  </si>
  <si>
    <t>Présentation des générations précédentes du dispositif fabriquées par le fabricant</t>
  </si>
  <si>
    <t>1.2.b</t>
  </si>
  <si>
    <t>Présentation des dispositifs similaires disponibles sur le marché européen ou international</t>
  </si>
  <si>
    <t>2.a</t>
  </si>
  <si>
    <t>Étiquetage du dispositif et de tous les niveaux de conditionnement dans les langues applicables</t>
  </si>
  <si>
    <t>2.b</t>
  </si>
  <si>
    <t>Notice d'utilisation dans les langues applicables</t>
  </si>
  <si>
    <t>3.a</t>
  </si>
  <si>
    <t>Informations permettant la compréhension de la conception du dispositif</t>
  </si>
  <si>
    <t>3.b</t>
  </si>
  <si>
    <t>Informations et spécifications de fabrication, validations des procédés, contrôles et essais du produit fini</t>
  </si>
  <si>
    <t>3.c</t>
  </si>
  <si>
    <t>Identification des sites de conception et de fabrication, y compris fournisseurs et sous-traitants</t>
  </si>
  <si>
    <t>4.a</t>
  </si>
  <si>
    <t>Identification des exigences générales de sécurité et de performances (GSPR) applicables et justification des exigences non applicables</t>
  </si>
  <si>
    <t>4.b</t>
  </si>
  <si>
    <t>Méthodes utilisées pour démontrer la conformité aux GSPR</t>
  </si>
  <si>
    <t>4.c</t>
  </si>
  <si>
    <t>Normes harmonisées, spécifications communes ou autres solutions appliquées</t>
  </si>
  <si>
    <t>4.d</t>
  </si>
  <si>
    <t>Références documentaires démontrant la conformité à chaque exigence applicable</t>
  </si>
  <si>
    <t>5.a</t>
  </si>
  <si>
    <t>Analyse bénéfice/risque</t>
  </si>
  <si>
    <t>5.b</t>
  </si>
  <si>
    <t>Gestion des risques : méthodes, solutions retenues et résultats</t>
  </si>
  <si>
    <t>Résultats et évaluation critique des études et essais de vérification et validation</t>
  </si>
  <si>
    <t>6.1.a</t>
  </si>
  <si>
    <t>Résultats d'essais précliniques (laboratoire, ingénierie, simulation, animaux, littérature)</t>
  </si>
  <si>
    <t>6.1.b.1</t>
  </si>
  <si>
    <t>Biocompatibilité</t>
  </si>
  <si>
    <t>6.1.b.2</t>
  </si>
  <si>
    <t>Caractérisation physico-chimique et microbiologique</t>
  </si>
  <si>
    <t>6.1.b.3</t>
  </si>
  <si>
    <t>Sécurité électrique et compatibilité électromagnétique</t>
  </si>
  <si>
    <t>6.1.b.4</t>
  </si>
  <si>
    <t>Vérification et validation du logiciel</t>
  </si>
  <si>
    <t>6.1.b.5</t>
  </si>
  <si>
    <t>Stabilité et durée de conservation</t>
  </si>
  <si>
    <t>6.1.b.6</t>
  </si>
  <si>
    <t>Performance et sécurité</t>
  </si>
  <si>
    <t>6.1.b.7</t>
  </si>
  <si>
    <t>Justification de l'absence de nouvel essai le cas échéant</t>
  </si>
  <si>
    <t>6.1.c</t>
  </si>
  <si>
    <t>Rapport d'évaluation clinique, mises à jour et plan d'évaluation clinique</t>
  </si>
  <si>
    <t>6.1.d</t>
  </si>
  <si>
    <t>Plan et rapport de suivi clinique après commercialisation (SCAC/PMCF) ou justification de non-applicabilité</t>
  </si>
  <si>
    <t>6.2.a</t>
  </si>
  <si>
    <t>Informations relatives aux substances médicamenteuses incorporées au dispositif</t>
  </si>
  <si>
    <t>6.2.b</t>
  </si>
  <si>
    <t>Informations relatives aux tissus ou cellules d'origine humaine ou animale</t>
  </si>
  <si>
    <t>6.2.c.1</t>
  </si>
  <si>
    <t>Études d'absorption, distribution, métabolisme et excrétion (ADME)</t>
  </si>
  <si>
    <t>6.2.c.2</t>
  </si>
  <si>
    <t>Études d'interactions avec d'autres dispositifs, médicaments ou substances</t>
  </si>
  <si>
    <t>6.2.c.3</t>
  </si>
  <si>
    <t>Études de tolérance locale</t>
  </si>
  <si>
    <t>6.2.c.4</t>
  </si>
  <si>
    <t>Études de toxicité (aiguë, répétée, génotoxicité, carcinogénicité, reprotoxicité)</t>
  </si>
  <si>
    <t>6.2.c.5</t>
  </si>
  <si>
    <t>Justification en cas d'absence de telles études</t>
  </si>
  <si>
    <t>6.2.d</t>
  </si>
  <si>
    <t>Justification relative aux substances CMR ou perturbateurs endocriniens</t>
  </si>
  <si>
    <t>6.2.e</t>
  </si>
  <si>
    <t>Validation des procédés de stérilisation et maîtrise microbiologique</t>
  </si>
  <si>
    <t>6.2.f</t>
  </si>
  <si>
    <t>Méthodes assurant l'exactitude des dispositifs de mesurage</t>
  </si>
  <si>
    <t>6.2.g</t>
  </si>
  <si>
    <t>Validation du raccordement et de l'interopérabilité avec d'autres dispositifs</t>
  </si>
  <si>
    <t>Item</t>
  </si>
  <si>
    <t>Exigence / Donnée attendue</t>
  </si>
  <si>
    <t>1.1.a.1</t>
  </si>
  <si>
    <t>Informations incidents graves</t>
  </si>
  <si>
    <t>Informations concernant les incidents graves, y compris celles issues des PSUR et des mesures correctives de sécurité.</t>
  </si>
  <si>
    <t>1.1.a.2</t>
  </si>
  <si>
    <t>Informations incidents non graves</t>
  </si>
  <si>
    <t>Informations concernant les incidents non graves et données relatives aux éventuels effets secondaires indésirables.</t>
  </si>
  <si>
    <t>1.1.a.3</t>
  </si>
  <si>
    <t>Rapport de tendances</t>
  </si>
  <si>
    <t>Informations provenant du rapport de tendances.</t>
  </si>
  <si>
    <t>1.1.a.4</t>
  </si>
  <si>
    <t>Sources techniques et scientifiques</t>
  </si>
  <si>
    <t>Publications, bases de données et/ou registres techniques ou spécialisés.</t>
  </si>
  <si>
    <t>1.1.a.5</t>
  </si>
  <si>
    <t>Retours des acteurs économiques</t>
  </si>
  <si>
    <t>Informations fournies par les utilisateurs, distributeurs et importateurs, y compris retours d'information et réclamations.</t>
  </si>
  <si>
    <t>1.1.a.6</t>
  </si>
  <si>
    <t>Informations publiques</t>
  </si>
  <si>
    <t>Informations publiques relatives à des dispositifs médicaux similaires.</t>
  </si>
  <si>
    <t>1.1.b.1</t>
  </si>
  <si>
    <t>Processus de collecte PMS</t>
  </si>
  <si>
    <t>Processus proactif et systématique de collecte des informations permettant de caractériser les performances du dispositif et de les comparer à celles de produits similaires.</t>
  </si>
  <si>
    <t>1.1.b.2</t>
  </si>
  <si>
    <t>Évaluation des données</t>
  </si>
  <si>
    <t>Méthodes et processus appropriés et efficaces pour l'évaluation des données collectées.</t>
  </si>
  <si>
    <t>1.1.b.3</t>
  </si>
  <si>
    <t>Indicateurs et seuils</t>
  </si>
  <si>
    <t>Indicateurs et seuils adaptés pour la réévaluation continue de l'analyse bénéfice/risque et de la gestion des risques.</t>
  </si>
  <si>
    <t>1.1.b.4</t>
  </si>
  <si>
    <t>Gestion des réclamations</t>
  </si>
  <si>
    <t>Méthodes et outils appropriés et efficaces pour traiter les réclamations et analyser les données d'expérience après commercialisation.</t>
  </si>
  <si>
    <t>1.1.b.5</t>
  </si>
  <si>
    <t>Gestion des tendances</t>
  </si>
  <si>
    <t>Méthodes et protocoles pour gérer les événements relevant du rapport de tendances, y compris les critères de progression statistiquement significative et la période d'observation.</t>
  </si>
  <si>
    <t>1.1.b.6</t>
  </si>
  <si>
    <t>Communication</t>
  </si>
  <si>
    <t>Méthodes et protocoles assurant une communication efficace avec les autorités compétentes, organismes notifiés, opérateurs économiques et utilisateurs.</t>
  </si>
  <si>
    <t>1.1.b.7</t>
  </si>
  <si>
    <t>Référence aux procédures réglementaires</t>
  </si>
  <si>
    <t>Référence aux procédures permettant de satisfaire aux obligations prévues aux articles 83, 84 et 86.</t>
  </si>
  <si>
    <t>1.1.b.8</t>
  </si>
  <si>
    <t>Mesures appropriées</t>
  </si>
  <si>
    <t>Procédures systématiques pour définir et mettre en œuvre les actions appropriées, y compris les mesures correctives.</t>
  </si>
  <si>
    <t>1.1.b.9</t>
  </si>
  <si>
    <t>Traçabilité des dispositifs</t>
  </si>
  <si>
    <t>Outils efficaces permettant d'identifier et de retrouver les dispositifs susceptibles de nécessiter des mesures correctives.</t>
  </si>
  <si>
    <t>1.1.b.10</t>
  </si>
  <si>
    <t>Plan SCAC</t>
  </si>
  <si>
    <t>Plan de SCAC conformément à l'annexe XIV, partie B, ou justification documentée de sa non-applicabilité.</t>
  </si>
  <si>
    <t>Rapport périodique actualisé de sécurité (PSUR) conformément à l'article 86.</t>
  </si>
  <si>
    <t>Rapport PMS</t>
  </si>
  <si>
    <t>Rapport de surveillance après commercialisation conformément à l'article 85.</t>
  </si>
  <si>
    <t>1.1 Description et spécification du dispositif</t>
  </si>
  <si>
    <t>1.2 Référence à des générations précédentes et similaires du dispositif</t>
  </si>
  <si>
    <t>2 INFORMATIONS DEVANT ÊTRE FOURNIES PAR LE FABRICANT</t>
  </si>
  <si>
    <t>3 INFORMATIONS SUR LA CONCEPTION ET LA FABRICATION</t>
  </si>
  <si>
    <t>4 EXIGENCES GÉNÉRALES EN MATIÈRE DE SÉCURITÉ ET DE PERFORMANCES</t>
  </si>
  <si>
    <t>5 ANALYSE BÉNÉFICE/RISQUE ET GESTION DES RISQUES</t>
  </si>
  <si>
    <t>6.1 Données précliniques et cliniques</t>
  </si>
  <si>
    <t>6.2 Informations supplémentaires requises dans des cas spécifiques</t>
  </si>
  <si>
    <t>Section</t>
  </si>
  <si>
    <t>6 VÉRIFICATION ET VALIDATION DU PRODUIT</t>
  </si>
  <si>
    <t>Exigence résumée</t>
  </si>
  <si>
    <t>Informations générales</t>
  </si>
  <si>
    <t>Fabricant légal</t>
  </si>
  <si>
    <t>Nom, raison sociale, marque et adresse du fabricant responsable de la mise sur le marché.</t>
  </si>
  <si>
    <t>Mandataire UE</t>
  </si>
  <si>
    <t>Nom et adresse du mandataire européen (si applicable).</t>
  </si>
  <si>
    <t>Identification DM</t>
  </si>
  <si>
    <t>Identification du dispositif, variantes, configurations et références commerciales.</t>
  </si>
  <si>
    <t>Pays de commercialisation</t>
  </si>
  <si>
    <t>États membres où le produit est ou sera commercialisé.</t>
  </si>
  <si>
    <t>Certification qualité</t>
  </si>
  <si>
    <t>Attestation CE du système qualité couvrant le DM.</t>
  </si>
  <si>
    <t>Attestation conformité</t>
  </si>
  <si>
    <t>Attestation de conformité applicable.</t>
  </si>
  <si>
    <t>4.3</t>
  </si>
  <si>
    <t>Historique réglementaire</t>
  </si>
  <si>
    <t>Autres évaluations de conformité ou enregistrements hors UE.</t>
  </si>
  <si>
    <t>Origine animale</t>
  </si>
  <si>
    <t>Déclaration d'utilisation ou non de produits d'origine animale.</t>
  </si>
  <si>
    <t>Substance médicamenteuse</t>
  </si>
  <si>
    <t>Déclaration de présence d'une substance assimilable à un médicament.</t>
  </si>
  <si>
    <t>Dérivé du sang humain</t>
  </si>
  <si>
    <t>Déclaration de présence de substance dérivée du sang humain.</t>
  </si>
  <si>
    <t>5.4</t>
  </si>
  <si>
    <t>Substance absorbée par le corps</t>
  </si>
  <si>
    <t>Déclaration concernant substances absorbées ou dispersées localement.</t>
  </si>
  <si>
    <t>Description DM</t>
  </si>
  <si>
    <t>Justification DM</t>
  </si>
  <si>
    <t>Démonstration que le produit est un dispositif médical.</t>
  </si>
  <si>
    <t>Classe MDR, règle appliquée et justification.</t>
  </si>
  <si>
    <t>IUD / UDI</t>
  </si>
  <si>
    <t>Identifiant unique du dispositif.</t>
  </si>
  <si>
    <t>Code nomenclature</t>
  </si>
  <si>
    <t>Code EMDN ou GMDN.</t>
  </si>
  <si>
    <t>Accessoires associés</t>
  </si>
  <si>
    <t>Description des accessoires et dispositifs associés.</t>
  </si>
  <si>
    <t>7.4</t>
  </si>
  <si>
    <t>Variantes</t>
  </si>
  <si>
    <t>Variantes et configurations du dispositif.</t>
  </si>
  <si>
    <t>7.5</t>
  </si>
  <si>
    <t>Logiciels</t>
  </si>
  <si>
    <t>Description des logiciels associés.</t>
  </si>
  <si>
    <t>7.6</t>
  </si>
  <si>
    <t>Présentation commerciale</t>
  </si>
  <si>
    <t>Description et photos du produit emballé.</t>
  </si>
  <si>
    <t>8.1</t>
  </si>
  <si>
    <t>Usage revendiqué</t>
  </si>
  <si>
    <t>Destination médicale</t>
  </si>
  <si>
    <t>Finalité médicale revendiquée.</t>
  </si>
  <si>
    <t>8.2</t>
  </si>
  <si>
    <t>Utilisateurs</t>
  </si>
  <si>
    <t>Population d'utilisateurs visée.</t>
  </si>
  <si>
    <t>8.3</t>
  </si>
  <si>
    <t>Indications</t>
  </si>
  <si>
    <t>Indications, patients cibles et conditions d'utilisation.</t>
  </si>
  <si>
    <t>8.4</t>
  </si>
  <si>
    <t>Fonctionnement</t>
  </si>
  <si>
    <t>Principe de fonctionnement et mode d'action.</t>
  </si>
  <si>
    <t>8.5</t>
  </si>
  <si>
    <t>Performances cliniques</t>
  </si>
  <si>
    <t>Performances cliniques revendiquées.</t>
  </si>
  <si>
    <t>8.6</t>
  </si>
  <si>
    <t>Bénéfices cliniques</t>
  </si>
  <si>
    <t>Bénéfices attendus pour le patient.</t>
  </si>
  <si>
    <t>8.7</t>
  </si>
  <si>
    <t>Sécurité utilisateur</t>
  </si>
  <si>
    <t>Contre-indications, effets secondaires et avertissements.</t>
  </si>
  <si>
    <t>8.8</t>
  </si>
  <si>
    <t>Durée de vie</t>
  </si>
  <si>
    <t>Durée de maintien des performances.</t>
  </si>
  <si>
    <t>8.9</t>
  </si>
  <si>
    <t>Péremption</t>
  </si>
  <si>
    <t>Date ou durée de validité.</t>
  </si>
  <si>
    <t>Composants</t>
  </si>
  <si>
    <t>Description composants</t>
  </si>
  <si>
    <t>Description des matériaux et composants clés.</t>
  </si>
  <si>
    <t>Matières premières</t>
  </si>
  <si>
    <t>Spécifications des matières premières.</t>
  </si>
  <si>
    <t>Additifs et contaminants</t>
  </si>
  <si>
    <t>Spécifications des additifs, contaminants et résidus.</t>
  </si>
  <si>
    <t>Conditionnement primaire</t>
  </si>
  <si>
    <t>Spécifications du conditionnement primaire.</t>
  </si>
  <si>
    <t>9.5</t>
  </si>
  <si>
    <t>Matériaux en contact patient</t>
  </si>
  <si>
    <t>Identification des matériaux au contact du patient.</t>
  </si>
  <si>
    <t>9.6</t>
  </si>
  <si>
    <t>Produit fini</t>
  </si>
  <si>
    <t>Spécifications techniques du produit fini.</t>
  </si>
  <si>
    <t>9.7</t>
  </si>
  <si>
    <t>Accessoires évalués</t>
  </si>
  <si>
    <t>Spécifications des accessoires couverts.</t>
  </si>
  <si>
    <t>9.8</t>
  </si>
  <si>
    <t>Plans et schémas</t>
  </si>
  <si>
    <t>Plans, schémas et photos associés.</t>
  </si>
  <si>
    <t>10.1</t>
  </si>
  <si>
    <t>Historique produit</t>
  </si>
  <si>
    <t>Générations précédentes</t>
  </si>
  <si>
    <t>Références aux versions antérieures du DM.</t>
  </si>
  <si>
    <t>10.2</t>
  </si>
  <si>
    <t>Produits similaires</t>
  </si>
  <si>
    <t>Comparaison avec produits concurrents similaires.</t>
  </si>
  <si>
    <t>10.3</t>
  </si>
  <si>
    <t>Innovation</t>
  </si>
  <si>
    <t>Description des nouveautés et innovations.</t>
  </si>
  <si>
    <t>11.1</t>
  </si>
  <si>
    <t>Historique modifications</t>
  </si>
  <si>
    <t>Évolution produit</t>
  </si>
  <si>
    <t>Historique des modifications depuis la mise sur le marché.</t>
  </si>
  <si>
    <t>11.2</t>
  </si>
  <si>
    <t>Modifications non notifiées</t>
  </si>
  <si>
    <t>Identification des changements non encore notifiés.</t>
  </si>
  <si>
    <t>11.3</t>
  </si>
  <si>
    <t>Évolutions réglementaires</t>
  </si>
  <si>
    <t>Impact réglementaire, normatif et état de l'art.</t>
  </si>
  <si>
    <t>12.1</t>
  </si>
  <si>
    <t>Informations fabricant</t>
  </si>
  <si>
    <t>Notice d'utilisation</t>
  </si>
  <si>
    <t>12.2</t>
  </si>
  <si>
    <t>12.3</t>
  </si>
  <si>
    <t>Étiquetage</t>
  </si>
  <si>
    <t>Documentation associée</t>
  </si>
  <si>
    <t>13.1</t>
  </si>
  <si>
    <t>Conception</t>
  </si>
  <si>
    <t>Planification conception</t>
  </si>
  <si>
    <t>Plan de conception et développement.</t>
  </si>
  <si>
    <t>13.2</t>
  </si>
  <si>
    <t>Vérification conception</t>
  </si>
  <si>
    <t>Résultats de vérification.</t>
  </si>
  <si>
    <t>13.3</t>
  </si>
  <si>
    <t>Transfert conception</t>
  </si>
  <si>
    <t>Preuves du transfert vers la production.</t>
  </si>
  <si>
    <t>13.4</t>
  </si>
  <si>
    <t>Revues conception</t>
  </si>
  <si>
    <t>Comptes-rendus des revues de conception.</t>
  </si>
  <si>
    <t>14.1</t>
  </si>
  <si>
    <t>Fabrication</t>
  </si>
  <si>
    <t>Fournisseurs critiques</t>
  </si>
  <si>
    <t>Fournisseurs et distributeurs critiques.</t>
  </si>
  <si>
    <t>14.2</t>
  </si>
  <si>
    <t>Logigramme fabrication</t>
  </si>
  <si>
    <t>Processus de fabrication et contrôles.</t>
  </si>
  <si>
    <t>14.3</t>
  </si>
  <si>
    <t>Méthodes de fabrication</t>
  </si>
  <si>
    <t>Description des procédés et contrôles.</t>
  </si>
  <si>
    <t>14.4</t>
  </si>
  <si>
    <t>Procédés validés</t>
  </si>
  <si>
    <t>Validation procédés (QO/QP).</t>
  </si>
  <si>
    <t>14.5</t>
  </si>
  <si>
    <t>Environnement de fabrication</t>
  </si>
  <si>
    <t>Classification et description des zones de fabrication.</t>
  </si>
  <si>
    <t>14.6</t>
  </si>
  <si>
    <t>Sites et sous-traitants</t>
  </si>
  <si>
    <t>Sites de fabrication et certifications associées.</t>
  </si>
  <si>
    <t>15.1</t>
  </si>
  <si>
    <t>EGSP</t>
  </si>
  <si>
    <t>Applicabilité EGSP</t>
  </si>
  <si>
    <t>Exigences applicables et non applicables.</t>
  </si>
  <si>
    <t>15.2</t>
  </si>
  <si>
    <t>Démonstration conformité</t>
  </si>
  <si>
    <t>Méthodes utilisées pour démontrer la conformité.</t>
  </si>
  <si>
    <t>15.3</t>
  </si>
  <si>
    <t>Normes appliquées</t>
  </si>
  <si>
    <t>Liste des normes et spécifications utilisées.</t>
  </si>
  <si>
    <t>15.4</t>
  </si>
  <si>
    <t>Preuves documentaires</t>
  </si>
  <si>
    <t>Références des documents démontrant la conformité.</t>
  </si>
  <si>
    <t>Conclusion B/R basée sur clinique, PMS, PSUR et risques.</t>
  </si>
  <si>
    <t>17.1</t>
  </si>
  <si>
    <t>Méthodologie</t>
  </si>
  <si>
    <t>Méthodes de gestion des risques et norme appliquée.</t>
  </si>
  <si>
    <t>17.2</t>
  </si>
  <si>
    <t>Cycle de vie</t>
  </si>
  <si>
    <t>Définition du cycle de vie pris en compte.</t>
  </si>
  <si>
    <t>17.3</t>
  </si>
  <si>
    <t>Dossier risques</t>
  </si>
  <si>
    <t>Plan, analyses, maîtrise et rapport de risques.</t>
  </si>
  <si>
    <t>18.1</t>
  </si>
  <si>
    <t>Données précliniques</t>
  </si>
  <si>
    <t>Choix matériaux</t>
  </si>
  <si>
    <t>Justification des matériaux et alternatives.</t>
  </si>
  <si>
    <t>18.2</t>
  </si>
  <si>
    <t>Substances CMR/PE</t>
  </si>
  <si>
    <t>Évaluation des CMR et perturbateurs endocriniens (&gt;0,1%).</t>
  </si>
  <si>
    <t>18.3</t>
  </si>
  <si>
    <t>Dérivés de suif</t>
  </si>
  <si>
    <t>Présence et justification des dérivés du suif animal.</t>
  </si>
  <si>
    <t>18.4</t>
  </si>
  <si>
    <t>Essais précliniques</t>
  </si>
  <si>
    <t>Rapports d'essais mécaniques, physiques, chimiques, électriques, etc.</t>
  </si>
  <si>
    <t>18.5</t>
  </si>
  <si>
    <t>Vérification produit</t>
  </si>
  <si>
    <t>Exactitude des fonctions de mesure.</t>
  </si>
  <si>
    <t>18.6</t>
  </si>
  <si>
    <t>Interconnexion DM</t>
  </si>
  <si>
    <t>Compatibilité avec d'autres dispositifs.</t>
  </si>
  <si>
    <t>18.7</t>
  </si>
  <si>
    <t>Maintien performances</t>
  </si>
  <si>
    <t>Stabilité, durée de vie et retraitement.</t>
  </si>
  <si>
    <t>18.8</t>
  </si>
  <si>
    <t>Conclusion préclinique</t>
  </si>
  <si>
    <t>Conclusion globale du fabricant.</t>
  </si>
  <si>
    <t>18.9</t>
  </si>
  <si>
    <t>Aptitude à l'utilisation</t>
  </si>
  <si>
    <t>Rapport d'utilisabilité (IEC 62366-1).</t>
  </si>
  <si>
    <t>19.1</t>
  </si>
  <si>
    <t>Plan PMS</t>
  </si>
  <si>
    <t>Plan de surveillance après commercialisation.</t>
  </si>
  <si>
    <t>19.2</t>
  </si>
  <si>
    <t>Plan de suivi clinique après commercialisation.</t>
  </si>
  <si>
    <t>19.3</t>
  </si>
  <si>
    <t>Rapport périodique actualisé de sécurité.</t>
  </si>
  <si>
    <t>19.4</t>
  </si>
  <si>
    <t>Rapport de surveillance après commercialisation.</t>
  </si>
  <si>
    <t>19.5</t>
  </si>
  <si>
    <t>Évaluation SCAC</t>
  </si>
  <si>
    <t>Rapport d'évaluation du suivi clinique.</t>
  </si>
  <si>
    <t>19.6</t>
  </si>
  <si>
    <t>Modifications PMS</t>
  </si>
  <si>
    <t>Évolutions et justifications des dispositions PMS.</t>
  </si>
  <si>
    <t>20.1</t>
  </si>
  <si>
    <t>Données post-marché</t>
  </si>
  <si>
    <t>Date commercialisation</t>
  </si>
  <si>
    <t>Date de mise sur le marché.</t>
  </si>
  <si>
    <t>20.2</t>
  </si>
  <si>
    <t>Volumes vendus</t>
  </si>
  <si>
    <t>Nombre de produits vendus UE/hors UE.</t>
  </si>
  <si>
    <t>20.3</t>
  </si>
  <si>
    <t>Population exposée</t>
  </si>
  <si>
    <t>Estimation des utilisateurs/patients.</t>
  </si>
  <si>
    <t>20.4</t>
  </si>
  <si>
    <t>Réclamations</t>
  </si>
  <si>
    <t>Nombre et nature des réclamations.</t>
  </si>
  <si>
    <t>20.5</t>
  </si>
  <si>
    <t>Matériovigilance</t>
  </si>
  <si>
    <t>Nombre et nature des signalements.</t>
  </si>
  <si>
    <t>20.6</t>
  </si>
  <si>
    <t>Données cliniques PMCF</t>
  </si>
  <si>
    <t>Résultats études PMCF et registres.</t>
  </si>
  <si>
    <t>20.7</t>
  </si>
  <si>
    <t>Actions correctives</t>
  </si>
  <si>
    <t>Correctifs et impacts sur la gestion des risques.</t>
  </si>
  <si>
    <t>A1</t>
  </si>
  <si>
    <t>Annexe obligatoire</t>
  </si>
  <si>
    <t>Liste des matières premières, additifs et conditionnements primaires.</t>
  </si>
  <si>
    <t>A2</t>
  </si>
  <si>
    <t>Logigramme de fabrication et contrôles.</t>
  </si>
  <si>
    <t>A3</t>
  </si>
  <si>
    <t>Tableau des procédés validés.</t>
  </si>
  <si>
    <t>A4</t>
  </si>
  <si>
    <t>Normes applicables</t>
  </si>
  <si>
    <t>Liste des normes et référentiels appliqués.</t>
  </si>
  <si>
    <t>AC1</t>
  </si>
  <si>
    <t>Annexe complémentaire</t>
  </si>
  <si>
    <t>Évaluation clinique</t>
  </si>
  <si>
    <t>Rapport d'évaluation clinique.</t>
  </si>
  <si>
    <t>AC2</t>
  </si>
  <si>
    <t>Évaluation biologique</t>
  </si>
  <si>
    <t>Dossier biologique ISO 10993.</t>
  </si>
  <si>
    <t>AC3</t>
  </si>
  <si>
    <t>Validation nettoyage</t>
  </si>
  <si>
    <t>Validation nettoyage/désinfection.</t>
  </si>
  <si>
    <t>AC4</t>
  </si>
  <si>
    <t>Validation emballage</t>
  </si>
  <si>
    <t>Validation du système d'emballage.</t>
  </si>
  <si>
    <t>AC5</t>
  </si>
  <si>
    <t>Validation stérilisation</t>
  </si>
  <si>
    <t>Validation des procédés de stérilisation.</t>
  </si>
  <si>
    <t>AC6</t>
  </si>
  <si>
    <t>Matériaux animaux</t>
  </si>
  <si>
    <t>Dossier matériaux d'origine animale.</t>
  </si>
  <si>
    <t>AC7</t>
  </si>
  <si>
    <t>DM avec médicament</t>
  </si>
  <si>
    <t>Éléments pour DM incorporant un médicament.</t>
  </si>
  <si>
    <t>AC8</t>
  </si>
  <si>
    <t>DM composé de substances</t>
  </si>
  <si>
    <t>Évaluation qualité/sécurité des substances absorbées.</t>
  </si>
  <si>
    <t>AC9</t>
  </si>
  <si>
    <t>Validation logiciel</t>
  </si>
  <si>
    <t>Documentation de validation logicielle.</t>
  </si>
  <si>
    <t>AC10</t>
  </si>
  <si>
    <t>Examen de type</t>
  </si>
  <si>
    <t>Rapport d'examen UE de type et essais.</t>
  </si>
  <si>
    <t>AC11</t>
  </si>
  <si>
    <t>Expertise</t>
  </si>
  <si>
    <t>Rapports d'experts.</t>
  </si>
  <si>
    <t>AC12</t>
  </si>
  <si>
    <t>PSUR NB</t>
  </si>
  <si>
    <t>Notified Body Evaluation Report du PSUR.</t>
  </si>
  <si>
    <t>10.4</t>
  </si>
  <si>
    <t>Caractère innovant</t>
  </si>
  <si>
    <t>Explication des nouvelles caractéristiques + justification selon grille ANSM</t>
  </si>
  <si>
    <t>Étiquettes dans les langues et emballages commerciaux, incluant graphiques.</t>
  </si>
  <si>
    <t>Technique opératoire, cartes implant, brochures, catalogues, publications, manuel de maintenance, etc.</t>
  </si>
  <si>
    <t>Notice ou manuel utilisateur, y compris eIFU</t>
  </si>
  <si>
    <t>section</t>
  </si>
  <si>
    <t>Analytical Classification Key</t>
  </si>
  <si>
    <t>ACK0010</t>
  </si>
  <si>
    <t>ACK0020</t>
  </si>
  <si>
    <t>ACK0030</t>
  </si>
  <si>
    <t>ACK0040</t>
  </si>
  <si>
    <t>ACK0050</t>
  </si>
  <si>
    <t>ACK0060</t>
  </si>
  <si>
    <t>ACK0070</t>
  </si>
  <si>
    <t>ACK0080</t>
  </si>
  <si>
    <t>ACK0090</t>
  </si>
  <si>
    <t>ACK0100</t>
  </si>
  <si>
    <t>ACK0110</t>
  </si>
  <si>
    <t>ACK0120</t>
  </si>
  <si>
    <t>ACK0130</t>
  </si>
  <si>
    <t>ACK0140</t>
  </si>
  <si>
    <t>ACK0150</t>
  </si>
  <si>
    <t>ACK0160</t>
  </si>
  <si>
    <t>ACK0170</t>
  </si>
  <si>
    <t>ACK0180</t>
  </si>
  <si>
    <t>ACK0190</t>
  </si>
  <si>
    <t>ACK0200</t>
  </si>
  <si>
    <t>ACK0210</t>
  </si>
  <si>
    <t>ACK0220</t>
  </si>
  <si>
    <t>ACK0230</t>
  </si>
  <si>
    <t>ACK0240</t>
  </si>
  <si>
    <t>ACK0250</t>
  </si>
  <si>
    <t>ACK0260</t>
  </si>
  <si>
    <t>ACK0270</t>
  </si>
  <si>
    <t>ACK0280</t>
  </si>
  <si>
    <t>ACK0290</t>
  </si>
  <si>
    <t>ACK0300</t>
  </si>
  <si>
    <t>ACK0310</t>
  </si>
  <si>
    <t>ACK0320</t>
  </si>
  <si>
    <t>ACK0330</t>
  </si>
  <si>
    <t>ACK0340</t>
  </si>
  <si>
    <t>ACK0350</t>
  </si>
  <si>
    <t>ACK0360</t>
  </si>
  <si>
    <t>ACK0370</t>
  </si>
  <si>
    <t>ACK0380</t>
  </si>
  <si>
    <t>ACK0390</t>
  </si>
  <si>
    <t>ACK0400</t>
  </si>
  <si>
    <t>ACK0410</t>
  </si>
  <si>
    <t>ACK0420</t>
  </si>
  <si>
    <t>ACK0430</t>
  </si>
  <si>
    <t>ACK0440</t>
  </si>
  <si>
    <t>ACK0450</t>
  </si>
  <si>
    <t>ACK0460</t>
  </si>
  <si>
    <t>ACK0470</t>
  </si>
  <si>
    <t>ACK0480</t>
  </si>
  <si>
    <t>ACK0490</t>
  </si>
  <si>
    <t>ACK0500</t>
  </si>
  <si>
    <t>ACK0510</t>
  </si>
  <si>
    <t>ACK0520</t>
  </si>
  <si>
    <t>ACK0530</t>
  </si>
  <si>
    <t>ACK0540</t>
  </si>
  <si>
    <t>ACK0550</t>
  </si>
  <si>
    <t>ACK0560</t>
  </si>
  <si>
    <t>ACK0570</t>
  </si>
  <si>
    <t>ACK0580</t>
  </si>
  <si>
    <t>ACK0590</t>
  </si>
  <si>
    <t>ACK0600</t>
  </si>
  <si>
    <t>ACK0610</t>
  </si>
  <si>
    <t>ACK0620</t>
  </si>
  <si>
    <t>ACK0630</t>
  </si>
  <si>
    <t>ACK0640</t>
  </si>
  <si>
    <t>ACK0650</t>
  </si>
  <si>
    <t>ACK0660</t>
  </si>
  <si>
    <t>ACK0670</t>
  </si>
  <si>
    <t>ACK0680</t>
  </si>
  <si>
    <t>ACK0690</t>
  </si>
  <si>
    <t>ACK0700</t>
  </si>
  <si>
    <t>ACK0710</t>
  </si>
  <si>
    <t>ACK0720</t>
  </si>
  <si>
    <t>ACK0730</t>
  </si>
  <si>
    <t>ACK0740</t>
  </si>
  <si>
    <t>ACK0750</t>
  </si>
  <si>
    <t>ACK0760</t>
  </si>
  <si>
    <t>ACK0770</t>
  </si>
  <si>
    <t>ACK0780</t>
  </si>
  <si>
    <t>ACK0790</t>
  </si>
  <si>
    <t>ACK0800</t>
  </si>
  <si>
    <t>ACK0810</t>
  </si>
  <si>
    <t>ACK0820</t>
  </si>
  <si>
    <t>ACK0830</t>
  </si>
  <si>
    <t>ACK0840</t>
  </si>
  <si>
    <t>ACK0850</t>
  </si>
  <si>
    <t>ACK0860</t>
  </si>
  <si>
    <t>ACK0870</t>
  </si>
  <si>
    <t>ACK0880</t>
  </si>
  <si>
    <t>ACK0890</t>
  </si>
  <si>
    <t>ACK0900</t>
  </si>
  <si>
    <t>ACK0910</t>
  </si>
  <si>
    <t>ACK0920</t>
  </si>
  <si>
    <t>ACK0930</t>
  </si>
  <si>
    <t>ACK0940</t>
  </si>
  <si>
    <t>ACK0950</t>
  </si>
  <si>
    <t>ACK0960</t>
  </si>
  <si>
    <t>ACK0970</t>
  </si>
  <si>
    <t>ACK0980</t>
  </si>
  <si>
    <t>ACK0990</t>
  </si>
  <si>
    <t>ACK1000</t>
  </si>
  <si>
    <t>ACK1010</t>
  </si>
  <si>
    <t>ACK1020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</si>
</sst>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name val="Calibri"/>
    </font>
    <font>
      <b/>
      <sz val="11"/>
      <name val="Calibri"/>
      <family val="2"/>
    </font>
    <font>
      <sz val="11"/>
      <name val="Calibri"/>
      <family val="2"/>
    </font>
    <font>
      <sz val="8"/>
      <name val="Calibri"/>
      <family val="2"/>
    </font>
    <font>
      <sz val="11"/>
      <color rgb="FFFF0000"/>
      <name val="Calibri"/>
      <family val="2"/>
    </font>
    <font>
      <sz val="9"/>
      <color indexed="81"/>
      <name val="Tahoma"/>
      <family val="2"/>
    </font>
    <font>
      <b/>
      <sz val="9"/>
      <color indexed="81"/>
      <name val="Tahoma"/>
      <family val="2"/>
    </font>
    <font>
      <b/>
      <sz val="11"/>
      <color rgb="FFFF0000"/>
      <name val="Calibri"/>
      <family val="2"/>
    </font>
    <font>
      <b/>
      <i/>
      <sz val="12"/>
      <color rgb="FF000000"/>
      <name val="Calibri"/>
      <family val="2"/>
    </font>
    <font>
      <b/>
      <sz val="10"/>
      <color rgb="FF000000"/>
      <name val="Calibri"/>
      <family val="2"/>
    </font>
    <font>
      <sz val="10"/>
      <color rgb="FF000000"/>
      <name val="Calibri"/>
      <family val="2"/>
    </font>
    <font>
      <sz val="10"/>
      <color theme="1"/>
      <name val="Calibri"/>
      <family val="2"/>
    </font>
    <font>
      <sz val="11"/>
      <color theme="0" tint="-0.34998626667073579"/>
      <name val="Calibri"/>
      <family val="2"/>
    </font>
    <font>
      <b/>
      <sz val="11"/>
      <name val="Calibri"/>
    </font>
    <font>
      <sz val="8"/>
      <name val="Calibri"/>
    </font>
    <font>
      <b/>
      <sz val="11"/>
      <color rgb="FF0070C0"/>
      <name val="Calibri"/>
      <family val="2"/>
    </font>
    <font>
      <sz val="11"/>
      <color rgb="FF0070C0"/>
      <name val="Calibri"/>
      <family val="2"/>
    </font>
  </fonts>
  <fills count="20">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FF00"/>
        <bgColor indexed="64"/>
      </patternFill>
    </fill>
    <fill>
      <patternFill patternType="solid">
        <fgColor rgb="FFD9D9D9"/>
        <bgColor indexed="64"/>
      </patternFill>
    </fill>
    <fill>
      <patternFill patternType="solid">
        <fgColor rgb="FFB4C6E7"/>
        <bgColor indexed="64"/>
      </patternFill>
    </fill>
    <fill>
      <patternFill patternType="solid">
        <fgColor rgb="FFD9E1F1"/>
        <bgColor indexed="64"/>
      </patternFill>
    </fill>
    <fill>
      <patternFill patternType="solid">
        <fgColor rgb="FFF1F1F1"/>
        <bgColor indexed="64"/>
      </patternFill>
    </fill>
    <fill>
      <patternFill patternType="solid">
        <fgColor rgb="FFFBE3D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3"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s>
  <cellStyleXfs count="1">
    <xf numFmtId="0" fontId="0" fillId="0" borderId="0"/>
  </cellStyleXfs>
  <cellXfs count="146">
    <xf numFmtId="0" fontId="0" fillId="0" borderId="0" xfId="0"/>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vertical="center"/>
    </xf>
    <xf numFmtId="0" fontId="0" fillId="2" borderId="1" xfId="0" applyFill="1" applyBorder="1" applyAlignment="1">
      <alignment horizontal="center" vertical="center"/>
    </xf>
    <xf numFmtId="0" fontId="0" fillId="4" borderId="1" xfId="0" applyFill="1" applyBorder="1"/>
    <xf numFmtId="0" fontId="0" fillId="4" borderId="1" xfId="0" applyFill="1" applyBorder="1" applyAlignment="1">
      <alignment horizontal="left" vertical="top"/>
    </xf>
    <xf numFmtId="0" fontId="0" fillId="0" borderId="2" xfId="0" applyBorder="1"/>
    <xf numFmtId="0" fontId="0" fillId="0" borderId="2" xfId="0" applyBorder="1" applyAlignment="1">
      <alignment wrapText="1"/>
    </xf>
    <xf numFmtId="0" fontId="0" fillId="0" borderId="0" xfId="0" applyAlignment="1">
      <alignment horizontal="center"/>
    </xf>
    <xf numFmtId="0" fontId="0" fillId="3" borderId="3" xfId="0" applyFill="1" applyBorder="1"/>
    <xf numFmtId="0" fontId="0" fillId="0" borderId="3" xfId="0" applyBorder="1" applyAlignment="1">
      <alignment horizontal="left" indent="1"/>
    </xf>
    <xf numFmtId="0" fontId="0" fillId="0" borderId="3" xfId="0" applyBorder="1" applyAlignment="1">
      <alignment horizontal="left" indent="2"/>
    </xf>
    <xf numFmtId="0" fontId="0" fillId="0" borderId="3" xfId="0" applyBorder="1"/>
    <xf numFmtId="0" fontId="0" fillId="0" borderId="3" xfId="0" applyBorder="1" applyAlignment="1">
      <alignment horizontal="left" indent="3"/>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0" borderId="7" xfId="0" applyBorder="1"/>
    <xf numFmtId="0" fontId="0" fillId="0" borderId="8" xfId="0" applyBorder="1"/>
    <xf numFmtId="0" fontId="0" fillId="0" borderId="8" xfId="0" applyBorder="1" applyAlignment="1">
      <alignment horizontal="left" vertical="top"/>
    </xf>
    <xf numFmtId="0" fontId="0" fillId="0" borderId="9" xfId="0" applyBorder="1"/>
    <xf numFmtId="0" fontId="0" fillId="0" borderId="0" xfId="0" pivotButton="1"/>
    <xf numFmtId="0" fontId="0" fillId="0" borderId="0" xfId="0" applyAlignment="1">
      <alignment horizontal="left"/>
    </xf>
    <xf numFmtId="0" fontId="0" fillId="0" borderId="0" xfId="0" pivotButton="1" applyAlignment="1">
      <alignment vertical="center"/>
    </xf>
    <xf numFmtId="0" fontId="0" fillId="0" borderId="0" xfId="0" pivotButton="1" applyAlignment="1">
      <alignment horizontal="left" vertical="center"/>
    </xf>
    <xf numFmtId="0" fontId="0" fillId="0" borderId="0" xfId="0" pivotButton="1" applyAlignment="1">
      <alignment horizontal="center" vertical="center" wrapText="1"/>
    </xf>
    <xf numFmtId="0" fontId="0" fillId="0" borderId="0" xfId="0" pivotButton="1" applyAlignment="1">
      <alignment horizontal="left" vertical="center" wrapText="1"/>
    </xf>
    <xf numFmtId="0" fontId="0" fillId="0" borderId="1" xfId="0" applyBorder="1" applyAlignment="1">
      <alignment vertical="center"/>
    </xf>
    <xf numFmtId="0" fontId="0" fillId="0" borderId="0" xfId="0" pivotButton="1" applyAlignment="1">
      <alignment vertical="center" wrapText="1"/>
    </xf>
    <xf numFmtId="0" fontId="1" fillId="0" borderId="0" xfId="0" applyFont="1" applyAlignment="1">
      <alignment horizontal="center"/>
    </xf>
    <xf numFmtId="0" fontId="2" fillId="0" borderId="0" xfId="0" applyFont="1" applyAlignment="1">
      <alignment wrapText="1"/>
    </xf>
    <xf numFmtId="0" fontId="2" fillId="5" borderId="5" xfId="0" applyFont="1" applyFill="1" applyBorder="1" applyAlignment="1">
      <alignment horizontal="center" vertical="center" wrapText="1"/>
    </xf>
    <xf numFmtId="0" fontId="0" fillId="0" borderId="2" xfId="0" applyBorder="1" applyAlignment="1">
      <alignment horizontal="left" vertical="top"/>
    </xf>
    <xf numFmtId="0" fontId="2" fillId="0" borderId="2" xfId="0" applyFont="1" applyBorder="1"/>
    <xf numFmtId="0" fontId="2" fillId="0" borderId="2" xfId="0" applyFont="1" applyBorder="1" applyAlignment="1">
      <alignment wrapText="1"/>
    </xf>
    <xf numFmtId="0" fontId="2" fillId="0" borderId="2" xfId="0" applyFont="1" applyBorder="1" applyAlignment="1">
      <alignment vertical="center" wrapText="1"/>
    </xf>
    <xf numFmtId="49" fontId="2" fillId="5" borderId="5" xfId="0" applyNumberFormat="1" applyFont="1" applyFill="1" applyBorder="1" applyAlignment="1">
      <alignment horizontal="center" vertical="center" wrapText="1"/>
    </xf>
    <xf numFmtId="0" fontId="0" fillId="0" borderId="8" xfId="0" applyBorder="1" applyAlignment="1">
      <alignment vertical="center"/>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0" fillId="2" borderId="5" xfId="0" applyFill="1" applyBorder="1" applyAlignment="1">
      <alignment vertical="center"/>
    </xf>
    <xf numFmtId="0" fontId="2" fillId="2" borderId="6" xfId="0" applyFont="1" applyFill="1" applyBorder="1" applyAlignment="1">
      <alignment vertical="center"/>
    </xf>
    <xf numFmtId="0" fontId="0" fillId="2" borderId="6" xfId="0" applyFill="1" applyBorder="1" applyAlignment="1">
      <alignmen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vertical="center" wrapText="1"/>
    </xf>
    <xf numFmtId="0" fontId="0" fillId="3" borderId="1" xfId="0" applyFill="1" applyBorder="1" applyAlignment="1">
      <alignment vertical="center"/>
    </xf>
    <xf numFmtId="0" fontId="2" fillId="6" borderId="1" xfId="0" applyFont="1" applyFill="1" applyBorder="1" applyAlignment="1">
      <alignment horizontal="center" vertical="center"/>
    </xf>
    <xf numFmtId="0" fontId="0" fillId="0" borderId="10" xfId="0" applyBorder="1" applyAlignment="1">
      <alignment vertical="center"/>
    </xf>
    <xf numFmtId="0" fontId="0" fillId="0" borderId="5" xfId="0" applyBorder="1" applyAlignment="1">
      <alignment vertical="center"/>
    </xf>
    <xf numFmtId="0" fontId="4" fillId="0" borderId="0" xfId="0" applyFont="1" applyAlignment="1">
      <alignment horizontal="right" vertical="center"/>
    </xf>
    <xf numFmtId="0" fontId="7" fillId="0" borderId="0" xfId="0" applyFont="1" applyAlignment="1">
      <alignment horizontal="center" vertical="center"/>
    </xf>
    <xf numFmtId="0" fontId="1" fillId="7" borderId="0" xfId="0" applyFont="1" applyFill="1" applyAlignment="1">
      <alignment horizontal="right" vertical="center"/>
    </xf>
    <xf numFmtId="0" fontId="1" fillId="0" borderId="0" xfId="0" applyFont="1" applyAlignment="1">
      <alignment horizontal="center" vertical="center"/>
    </xf>
    <xf numFmtId="14" fontId="2" fillId="0" borderId="1" xfId="0" applyNumberFormat="1" applyFont="1" applyBorder="1" applyAlignment="1">
      <alignment horizontal="center" vertical="center"/>
    </xf>
    <xf numFmtId="0" fontId="2" fillId="0" borderId="8" xfId="0" applyFont="1" applyBorder="1" applyAlignment="1">
      <alignment horizontal="center" vertical="center"/>
    </xf>
    <xf numFmtId="49" fontId="2" fillId="0" borderId="8" xfId="0" applyNumberFormat="1" applyFont="1" applyBorder="1" applyAlignment="1">
      <alignment horizontal="center" vertical="center"/>
    </xf>
    <xf numFmtId="0" fontId="2" fillId="0" borderId="1" xfId="0" applyFont="1" applyBorder="1" applyAlignment="1">
      <alignment horizontal="center" vertical="center" wrapText="1"/>
    </xf>
    <xf numFmtId="0" fontId="2" fillId="8" borderId="1" xfId="0" applyFont="1" applyFill="1" applyBorder="1" applyAlignment="1">
      <alignment horizontal="center" vertical="center"/>
    </xf>
    <xf numFmtId="0" fontId="0" fillId="3" borderId="1"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2" fillId="0" borderId="1" xfId="0" applyFont="1" applyBorder="1" applyAlignment="1">
      <alignment vertical="center" wrapText="1"/>
    </xf>
    <xf numFmtId="0" fontId="2" fillId="0" borderId="3" xfId="0" applyFont="1" applyBorder="1" applyAlignment="1">
      <alignment horizontal="left" indent="1"/>
    </xf>
    <xf numFmtId="0" fontId="8" fillId="9" borderId="0" xfId="0" applyFont="1" applyFill="1" applyAlignment="1">
      <alignment vertical="center" wrapText="1"/>
    </xf>
    <xf numFmtId="0" fontId="9" fillId="10" borderId="0" xfId="0" applyFont="1" applyFill="1" applyAlignment="1">
      <alignment vertical="center" wrapText="1"/>
    </xf>
    <xf numFmtId="0" fontId="10" fillId="10" borderId="0" xfId="0" applyFont="1" applyFill="1" applyAlignment="1">
      <alignment vertical="center" wrapText="1"/>
    </xf>
    <xf numFmtId="0" fontId="9" fillId="11" borderId="0" xfId="0" applyFont="1" applyFill="1" applyAlignment="1">
      <alignment vertical="center" wrapText="1"/>
    </xf>
    <xf numFmtId="0" fontId="10" fillId="11" borderId="0" xfId="0" applyFont="1" applyFill="1" applyAlignment="1">
      <alignment vertical="center" wrapText="1"/>
    </xf>
    <xf numFmtId="0" fontId="11" fillId="0" borderId="0" xfId="0" applyFont="1" applyAlignment="1">
      <alignment vertical="center" wrapText="1"/>
    </xf>
    <xf numFmtId="0" fontId="11" fillId="0" borderId="0" xfId="0" applyFont="1" applyAlignment="1">
      <alignment horizontal="justify" vertical="center" wrapText="1"/>
    </xf>
    <xf numFmtId="0" fontId="10" fillId="12" borderId="0" xfId="0" applyFont="1" applyFill="1" applyAlignment="1">
      <alignment vertical="center" wrapText="1"/>
    </xf>
    <xf numFmtId="0" fontId="9" fillId="13" borderId="0" xfId="0" applyFont="1" applyFill="1" applyAlignment="1">
      <alignment vertical="center" wrapText="1"/>
    </xf>
    <xf numFmtId="0" fontId="10" fillId="13" borderId="0" xfId="0" applyFont="1" applyFill="1" applyAlignment="1">
      <alignment vertical="center" wrapText="1"/>
    </xf>
    <xf numFmtId="0" fontId="8" fillId="9" borderId="0" xfId="0" applyFont="1" applyFill="1" applyAlignment="1">
      <alignment horizontal="center" vertical="center" wrapText="1"/>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0" fontId="11" fillId="0" borderId="0" xfId="0" applyFont="1" applyAlignment="1">
      <alignment horizontal="center" vertical="center" wrapText="1"/>
    </xf>
    <xf numFmtId="0" fontId="10" fillId="12" borderId="0" xfId="0" applyFont="1" applyFill="1" applyAlignment="1">
      <alignment horizontal="center" vertical="center" wrapText="1"/>
    </xf>
    <xf numFmtId="0" fontId="10" fillId="13" borderId="0" xfId="0" applyFont="1" applyFill="1" applyAlignment="1">
      <alignment horizontal="center" vertical="center" wrapText="1"/>
    </xf>
    <xf numFmtId="0" fontId="0" fillId="0" borderId="0" xfId="0" applyAlignment="1">
      <alignment wrapText="1"/>
    </xf>
    <xf numFmtId="0" fontId="2" fillId="0" borderId="0" xfId="0" applyFont="1"/>
    <xf numFmtId="0" fontId="2" fillId="5" borderId="11" xfId="0" applyFont="1" applyFill="1" applyBorder="1" applyAlignment="1">
      <alignment horizontal="center" vertical="center" wrapText="1"/>
    </xf>
    <xf numFmtId="0" fontId="2" fillId="0" borderId="0" xfId="0" applyFont="1" applyAlignment="1">
      <alignment horizontal="center"/>
    </xf>
    <xf numFmtId="0" fontId="2" fillId="0" borderId="1" xfId="0" applyFont="1" applyBorder="1" applyAlignment="1">
      <alignment vertical="center"/>
    </xf>
    <xf numFmtId="0" fontId="0" fillId="14" borderId="3" xfId="0" applyFill="1" applyBorder="1"/>
    <xf numFmtId="0" fontId="0" fillId="14" borderId="1" xfId="0" applyFill="1" applyBorder="1" applyAlignment="1">
      <alignment vertical="center"/>
    </xf>
    <xf numFmtId="0" fontId="0" fillId="14" borderId="0" xfId="0" applyFill="1"/>
    <xf numFmtId="0" fontId="0" fillId="14" borderId="0" xfId="0" applyFill="1" applyAlignment="1">
      <alignment horizontal="center"/>
    </xf>
    <xf numFmtId="0" fontId="0" fillId="14" borderId="0" xfId="0" applyFill="1" applyAlignment="1">
      <alignment horizontal="center" vertical="center"/>
    </xf>
    <xf numFmtId="0" fontId="0" fillId="15" borderId="3" xfId="0" applyFill="1" applyBorder="1" applyAlignment="1">
      <alignment horizontal="left" indent="1"/>
    </xf>
    <xf numFmtId="0" fontId="0" fillId="15" borderId="1" xfId="0" applyFill="1" applyBorder="1" applyAlignment="1">
      <alignment vertical="center"/>
    </xf>
    <xf numFmtId="0" fontId="0" fillId="15" borderId="0" xfId="0" applyFill="1"/>
    <xf numFmtId="0" fontId="0" fillId="15" borderId="0" xfId="0" applyFill="1" applyAlignment="1">
      <alignment horizontal="center"/>
    </xf>
    <xf numFmtId="0" fontId="0" fillId="15" borderId="0" xfId="0" applyFill="1" applyAlignment="1">
      <alignment horizontal="center" vertical="center"/>
    </xf>
    <xf numFmtId="0" fontId="0" fillId="16" borderId="3" xfId="0" applyFill="1" applyBorder="1" applyAlignment="1">
      <alignment horizontal="left" indent="1"/>
    </xf>
    <xf numFmtId="0" fontId="0" fillId="16" borderId="1" xfId="0" applyFill="1" applyBorder="1" applyAlignment="1">
      <alignment vertical="center"/>
    </xf>
    <xf numFmtId="0" fontId="0" fillId="16" borderId="0" xfId="0" applyFill="1"/>
    <xf numFmtId="0" fontId="0" fillId="16" borderId="0" xfId="0" applyFill="1" applyAlignment="1">
      <alignment horizontal="center"/>
    </xf>
    <xf numFmtId="0" fontId="0" fillId="16" borderId="0" xfId="0" applyFill="1" applyAlignment="1">
      <alignment horizontal="center" vertical="center"/>
    </xf>
    <xf numFmtId="0" fontId="12" fillId="0" borderId="3" xfId="0" applyFont="1" applyBorder="1" applyAlignment="1">
      <alignment horizontal="left" indent="1"/>
    </xf>
    <xf numFmtId="0" fontId="12" fillId="0" borderId="1" xfId="0" applyFont="1" applyBorder="1" applyAlignment="1">
      <alignment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2" fillId="0" borderId="3" xfId="0" applyFont="1" applyBorder="1" applyAlignment="1">
      <alignment horizontal="left" indent="2"/>
    </xf>
    <xf numFmtId="0" fontId="0" fillId="17" borderId="3" xfId="0" applyFill="1" applyBorder="1" applyAlignment="1">
      <alignment horizontal="left" indent="1"/>
    </xf>
    <xf numFmtId="0" fontId="0" fillId="17" borderId="1" xfId="0" applyFill="1" applyBorder="1" applyAlignment="1">
      <alignment vertical="center"/>
    </xf>
    <xf numFmtId="0" fontId="0" fillId="17" borderId="0" xfId="0" applyFill="1" applyAlignment="1">
      <alignment horizontal="center"/>
    </xf>
    <xf numFmtId="0" fontId="0" fillId="17" borderId="0" xfId="0" applyFill="1"/>
    <xf numFmtId="0" fontId="0" fillId="17" borderId="0" xfId="0" applyFill="1" applyAlignment="1">
      <alignment horizontal="center" vertical="center"/>
    </xf>
    <xf numFmtId="0" fontId="0" fillId="18" borderId="3" xfId="0" applyFill="1" applyBorder="1"/>
    <xf numFmtId="0" fontId="0" fillId="18" borderId="1" xfId="0" applyFill="1" applyBorder="1" applyAlignment="1">
      <alignment vertical="center"/>
    </xf>
    <xf numFmtId="0" fontId="0" fillId="18" borderId="0" xfId="0" applyFill="1"/>
    <xf numFmtId="0" fontId="0" fillId="18" borderId="0" xfId="0" applyFill="1" applyAlignment="1">
      <alignment horizontal="center"/>
    </xf>
    <xf numFmtId="0" fontId="0" fillId="18" borderId="0" xfId="0" applyFill="1" applyAlignment="1">
      <alignment horizontal="center" vertical="center"/>
    </xf>
    <xf numFmtId="0" fontId="0" fillId="19" borderId="3" xfId="0" applyFill="1" applyBorder="1" applyAlignment="1">
      <alignment horizontal="left" indent="2"/>
    </xf>
    <xf numFmtId="0" fontId="0" fillId="19" borderId="1" xfId="0" applyFill="1" applyBorder="1" applyAlignment="1">
      <alignment vertical="center"/>
    </xf>
    <xf numFmtId="0" fontId="0" fillId="19" borderId="0" xfId="0" applyFill="1"/>
    <xf numFmtId="0" fontId="0" fillId="19" borderId="0" xfId="0" applyFill="1" applyAlignment="1">
      <alignment horizontal="center"/>
    </xf>
    <xf numFmtId="0" fontId="0" fillId="19" borderId="0" xfId="0"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xf numFmtId="0" fontId="13" fillId="0" borderId="0" xfId="0" applyFont="1" applyAlignment="1">
      <alignment horizontal="center" vertical="center" wrapText="1"/>
    </xf>
    <xf numFmtId="0" fontId="13" fillId="0" borderId="0" xfId="0" applyFont="1" applyAlignment="1">
      <alignment horizontal="center" wrapText="1"/>
    </xf>
    <xf numFmtId="0" fontId="0" fillId="0" borderId="0" xfId="0" applyAlignment="1">
      <alignment horizont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9" fillId="10" borderId="0" xfId="0" applyFont="1" applyFill="1" applyAlignment="1">
      <alignment vertical="center" wrapText="1"/>
    </xf>
    <xf numFmtId="0" fontId="10" fillId="10" borderId="0" xfId="0" applyFont="1" applyFill="1" applyAlignment="1">
      <alignment horizontal="center" vertical="center" wrapText="1"/>
    </xf>
    <xf numFmtId="0" fontId="10" fillId="10" borderId="0" xfId="0" applyFont="1" applyFill="1" applyAlignment="1">
      <alignment vertical="center" wrapText="1"/>
    </xf>
  </cellXfs>
  <cellStyles count="1">
    <cellStyle name="Normal" xfId="0" builtinId="0"/>
  </cellStyles>
  <dxfs count="282">
    <dxf>
      <font>
        <b/>
        <i val="0"/>
        <color rgb="FFFF0000"/>
      </font>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wrapText="1"/>
    </dxf>
    <dxf>
      <alignment wrapText="1"/>
    </dxf>
    <dxf>
      <alignment wrapText="1"/>
    </dxf>
    <dxf>
      <alignment horizontal="general" vertical="center" textRotation="0" wrapText="1" indent="0" justifyLastLine="0" shrinkToFit="0" readingOrder="0"/>
    </dxf>
    <dxf>
      <font>
        <b val="0"/>
        <i val="0"/>
        <strike val="0"/>
        <condense val="0"/>
        <extend val="0"/>
        <outline val="0"/>
        <shadow val="0"/>
        <u val="none"/>
        <vertAlign val="baseline"/>
        <sz val="11"/>
        <color rgb="FF0070C0"/>
        <name val="Calibri"/>
        <family val="2"/>
        <scheme val="none"/>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textRotation="0" indent="0" justifyLastLine="0" shrinkToFit="0" readingOrder="0"/>
    </dxf>
    <dxf>
      <alignment horizontal="general" textRotation="0" indent="0" justifyLastLine="0" shrinkToFit="0" readingOrder="0"/>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Beaume" refreshedDate="45887.700574074071" createdVersion="8" refreshedVersion="8" minRefreshableVersion="3" recordCount="127" xr:uid="{32E9FF2A-4B26-4CE3-82AE-148437344FF9}">
  <cacheSource type="worksheet">
    <worksheetSource name="Tableau1"/>
  </cacheSource>
  <cacheFields count="20">
    <cacheField name="Chapter No _x000a_(RMF Browser)" numFmtId="0">
      <sharedItems containsBlank="1" count="93">
        <s v="1"/>
        <s v="1.1"/>
        <s v="1.1.1"/>
        <s v="1.1.2"/>
        <s v="1.1.3"/>
        <s v="1.1.4"/>
        <m/>
        <s v="1.1.5"/>
        <s v="1.1.6"/>
        <s v="1.2"/>
        <s v="1.2.1"/>
        <s v="1.2.2"/>
        <s v="1.2.3"/>
        <s v="1.3"/>
        <s v="1.3.1"/>
        <s v="1.3.2"/>
        <s v="2"/>
        <s v="2.1"/>
        <s v="2.2"/>
        <s v="2.3"/>
        <s v="2.4"/>
        <s v="3"/>
        <s v="3.1"/>
        <s v="3.2"/>
        <s v="3.3"/>
        <s v="3.4"/>
        <s v="4"/>
        <s v="4.1"/>
        <s v="4.2"/>
        <s v="5"/>
        <s v="5.1"/>
        <s v="5.2"/>
        <s v="5.3"/>
        <s v="6"/>
        <s v="6.1"/>
        <s v="6.1.1"/>
        <s v="6.1.1.1"/>
        <s v="6.1.1.2"/>
        <s v="6.1.1.3"/>
        <s v="6.1.1.4"/>
        <s v="6.1.1.5"/>
        <s v="6.1.1.6"/>
        <s v="6.1.1.7"/>
        <s v="6.1.2"/>
        <s v="6.1.2.1"/>
        <s v="6.1.2.2"/>
        <s v="6.1.2.3"/>
        <s v="6.1.3"/>
        <s v="6.1.4"/>
        <s v="6.1.5"/>
        <s v="6.1.6"/>
        <s v="6.1.7"/>
        <s v="6.2"/>
        <s v="6.2.1"/>
        <s v="6.2.2"/>
        <s v="6.2.3"/>
        <s v="6.2.4"/>
        <s v="6.2.5"/>
        <s v="6.2.6"/>
        <s v="6.2.7"/>
        <s v="6.3"/>
        <s v="6.3.1"/>
        <s v="6.3.2"/>
        <s v="6.3.2.1"/>
        <s v="6.3.2.2"/>
        <s v="6.3.3"/>
        <s v="6.3.3.1"/>
        <s v="6.3.3.2"/>
        <s v="6.3.3.3"/>
        <s v="6.3.4"/>
        <s v="6.4"/>
        <s v="6.4.1"/>
        <s v="6.4.2"/>
        <s v="6.4.3"/>
        <s v="6.4.4"/>
        <s v="6.4.5"/>
        <s v="6.4.6"/>
        <s v="6.4.7"/>
        <s v="6.4.8"/>
        <s v="6.4.9"/>
        <s v="6.4.10"/>
        <s v="6.5"/>
        <s v="6.6"/>
        <s v="7"/>
        <s v="7.1"/>
        <s v="7.2"/>
        <s v="7.3"/>
        <s v="8"/>
        <s v="9"/>
        <s v="9.1"/>
        <s v="9.2"/>
        <s v="9.3"/>
        <s v="9.4"/>
      </sharedItems>
    </cacheField>
    <cacheField name="Chapter/Filename_x000a_RMF Chasseneuil" numFmtId="0">
      <sharedItems containsBlank="1" count="88">
        <s v="Device description and general specification"/>
        <s v="Device description"/>
        <s v="General description and intended use"/>
        <s v="UDI"/>
        <s v="Accessories"/>
        <s v="Drawings, photographs and diagrams"/>
        <m/>
        <s v="Description of used materials"/>
        <s v="Material data sheets"/>
        <s v="General specification"/>
        <s v="Product specification"/>
        <s v="Packaging specification"/>
        <s v="System, hardware and mechanical requirement specification"/>
        <s v="Similar and previous devices"/>
        <s v="Manufacturers previous generations"/>
        <s v="Similar devices in the market"/>
        <s v="Labeling"/>
        <s v="Labels on the device and packaging"/>
        <s v="Instructions for use"/>
        <s v="Promotional material"/>
        <s v="Service manual"/>
        <s v="Design and manufacturing information"/>
        <s v="Design process"/>
        <s v="Design and manufacturing sites"/>
        <s v="Manufacturing process"/>
        <s v="Batch, lot and serial numbering system"/>
        <s v="Essential principles of safety and performance"/>
        <s v="Essential principles checklist"/>
        <s v="List of applied standards"/>
        <s v="Risk management"/>
        <s v="Plan"/>
        <s v="Summary"/>
        <s v="Analysis"/>
        <s v="Product verification and validation"/>
        <s v="Design verification and preclinical tests"/>
        <s v="Design input and verification"/>
        <s v="Requirement profile"/>
        <s v="Test specifications"/>
        <s v="Test plans"/>
        <s v="Test methods"/>
        <s v="Test protocols"/>
        <s v="Certificates of analysis"/>
        <s v="Test reports"/>
        <s v="Biocompatibility and preclinical studies"/>
        <s v="Evaluation"/>
        <s v="Additional documentation"/>
        <s v="Cleaning and re-processing"/>
        <s v="Electrical safety and electromagnetic compatibility"/>
        <s v="Stability and shelf-life"/>
        <s v="Performance tests"/>
        <s v="Evaluation of design verification"/>
        <s v="Clinical evaluation"/>
        <s v="Report"/>
        <s v="Post marketing clinical follow-up plan"/>
        <s v="PMCF evaluation report and justification for no PMCF"/>
        <s v="Summary of safety and clinical performance"/>
        <s v="Clinical studies and user surveys"/>
        <s v="Literature and register data"/>
        <s v="Validation"/>
        <s v="Usability"/>
        <s v="Packaging validation"/>
        <s v="Validation report"/>
        <s v="Sterilization validation"/>
        <s v="SAL certificate"/>
        <s v="Manufacturing validation"/>
        <s v="Software"/>
        <s v="Architecture"/>
        <s v="Configuration management and version description"/>
        <s v="Development plan"/>
        <s v="Specifications"/>
        <s v="Verification reports"/>
        <s v="Product validation report"/>
        <s v="Revision level history"/>
        <s v="Unresolved anomalies"/>
        <s v="Classification"/>
        <s v="Release"/>
        <s v="Medicinal substances"/>
        <s v="Biological safety"/>
        <s v="Certificates"/>
        <s v="Declaration of conformity"/>
        <s v="Certificate of conformity"/>
        <s v="Company certificates"/>
        <s v="Post market surveillance"/>
        <s v="Administrative documents"/>
        <s v="Declaration letters"/>
        <s v="Registration status"/>
        <s v="RMF changes"/>
        <s v="Other documents"/>
      </sharedItems>
    </cacheField>
    <cacheField name=" Annex N°" numFmtId="0">
      <sharedItems containsBlank="1" count="52">
        <m/>
        <s v="Annex03"/>
        <s v="Annex09_8_A"/>
        <s v="Annex09_8_B"/>
        <s v="Annex09_8_C"/>
        <s v="Annex09_2"/>
        <s v="Annex18_1"/>
        <s v="Annex18_2"/>
        <s v="Annex09_2_A"/>
        <s v="Annex09_2_B"/>
        <s v="Annex09_2_C"/>
        <s v="Annex09_2_D"/>
        <s v="Annex09_6_1"/>
        <s v="Annex09_6_B"/>
        <s v="Annex07_6"/>
        <s v="Annex12_2"/>
        <s v="Annex12_1"/>
        <s v="Annex12_3_B"/>
        <s v="Annex12-3_C"/>
        <s v="Annex12_3_D"/>
        <s v="Annex12_3_A"/>
        <s v="Annex13_4"/>
        <s v="Annex14_6"/>
        <s v="Annex13_2_D"/>
        <s v="Annex14_2"/>
        <s v="Annex15_1"/>
        <s v="Annex15_2_A"/>
        <s v="Annex15_2"/>
        <s v="Annex17"/>
        <s v="Annex16"/>
        <s v="Annex13_2_B"/>
        <s v="Annex18_6"/>
        <s v="Annex13_2_A"/>
        <s v="AnnexC2"/>
        <s v="AnnexC1_A"/>
        <s v="Annex C1_B"/>
        <s v="Annex19_2"/>
        <s v="Annex19_5"/>
        <s v="Annex C1_C"/>
        <s v="Annex13_2_C"/>
        <s v="AnnexC4"/>
        <s v="AnnexC5"/>
        <s v="Annex14_4"/>
        <s v="AnnexC3"/>
        <s v="Annex04_3"/>
        <s v="Annex01"/>
        <s v="Annex19_1"/>
        <s v="Annex19_3"/>
        <s v="Annex05"/>
        <s v="HISTORY"/>
        <s v="Annex10_1"/>
        <s v="Annex10_1_2"/>
      </sharedItems>
    </cacheField>
    <cacheField name="Document title" numFmtId="0">
      <sharedItems containsBlank="1"/>
    </cacheField>
    <cacheField name="Responsable" numFmtId="0">
      <sharedItems containsBlank="1" count="16">
        <s v="Réglementaire"/>
        <m/>
        <s v="Developpement"/>
        <s v="PMO"/>
        <s v="MSA_x000a_Labeling"/>
        <s v="Achat"/>
        <s v="Méthodes/Indus"/>
        <s v="Gestion des risques"/>
        <s v="Labo"/>
        <s v="Biocomp"/>
        <s v="MSA"/>
        <s v="Validation"/>
        <s v="Human Factor Engineering"/>
        <s v="Packaging"/>
        <s v="Microbiology"/>
        <s v="PMS"/>
      </sharedItems>
    </cacheField>
    <cacheField name="Qui ?" numFmtId="0">
      <sharedItems containsBlank="1"/>
    </cacheField>
    <cacheField name="Nombre de documents" numFmtId="0">
      <sharedItems containsString="0" containsBlank="1" containsNumber="1" containsInteger="1" minValue="1" maxValue="177"/>
    </cacheField>
    <cacheField name="Non" numFmtId="0">
      <sharedItems containsNonDate="0" containsString="0" containsBlank="1"/>
    </cacheField>
    <cacheField name="Colonne1" numFmtId="0">
      <sharedItems containsNonDate="0" containsString="0" containsBlank="1"/>
    </cacheField>
    <cacheField name="Colonne2" numFmtId="0">
      <sharedItems containsNonDate="0" containsString="0" containsBlank="1"/>
    </cacheField>
    <cacheField name="Responsable formé_x000a_O/N" numFmtId="0">
      <sharedItems containsBlank="1" count="5">
        <s v="O"/>
        <m/>
        <s v="N"/>
        <s v="O/N" u="1"/>
        <s v="?" u="1"/>
      </sharedItems>
    </cacheField>
    <cacheField name="Commentaire" numFmtId="0">
      <sharedItems containsBlank="1" count="8">
        <m/>
        <s v="Attente noms qui former"/>
        <s v="Reformer avec Développement"/>
        <s v="MSA : O_x000a_Labelling : reformer"/>
        <s v="A plannifier"/>
        <s v="A Reprogrammer"/>
        <s v="N'utilise pas à ce jour"/>
        <s v="Qui est l'expert ?" u="1"/>
      </sharedItems>
    </cacheField>
    <cacheField name="Doc IMS" numFmtId="49">
      <sharedItems containsBlank="1"/>
    </cacheField>
    <cacheField name="Formulaire" numFmtId="0">
      <sharedItems containsBlank="1"/>
    </cacheField>
    <cacheField name="Dans B.DoCS ?_x000a_O/N" numFmtId="0">
      <sharedItems containsBlank="1"/>
    </cacheField>
    <cacheField name="Si N : _x000a_A ajouter_x000a_X" numFmtId="0">
      <sharedItems containsBlank="1"/>
    </cacheField>
    <cacheField name="Si O :_x000a_A Finaliser_x000a_X" numFmtId="0">
      <sharedItems containsBlank="1"/>
    </cacheField>
    <cacheField name="Si O :_x000a_Effectif + Natif ok " numFmtId="0">
      <sharedItems containsBlank="1"/>
    </cacheField>
    <cacheField name="Onglet S2-RMF Structure O/N ?" numFmtId="0">
      <sharedItems containsBlank="1"/>
    </cacheField>
    <cacheField name="Doc associé à S2-RMF ? 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x v="0"/>
    <x v="0"/>
    <x v="0"/>
    <s v="RMF"/>
    <x v="0"/>
    <s v="M. Bardon, C. Nandelec"/>
    <n v="1"/>
    <m/>
    <m/>
    <m/>
    <x v="0"/>
    <x v="0"/>
    <s v="4-1-07-003"/>
    <s v="4-1-07-003-1"/>
    <m/>
    <m/>
    <m/>
    <m/>
    <m/>
    <m/>
  </r>
  <r>
    <x v="1"/>
    <x v="1"/>
    <x v="0"/>
    <m/>
    <x v="1"/>
    <m/>
    <m/>
    <m/>
    <m/>
    <m/>
    <x v="1"/>
    <x v="0"/>
    <m/>
    <m/>
    <m/>
    <m/>
    <m/>
    <m/>
    <m/>
    <m/>
  </r>
  <r>
    <x v="2"/>
    <x v="2"/>
    <x v="1"/>
    <s v="Glossary"/>
    <x v="2"/>
    <s v="S. Remaudière, R. Bernard "/>
    <n v="1"/>
    <m/>
    <m/>
    <m/>
    <x v="2"/>
    <x v="1"/>
    <s v="5-1-04"/>
    <s v="5-1-04-000-8"/>
    <m/>
    <m/>
    <m/>
    <m/>
    <m/>
    <m/>
  </r>
  <r>
    <x v="3"/>
    <x v="3"/>
    <x v="0"/>
    <m/>
    <x v="1"/>
    <m/>
    <m/>
    <m/>
    <m/>
    <m/>
    <x v="1"/>
    <x v="0"/>
    <m/>
    <m/>
    <m/>
    <m/>
    <m/>
    <m/>
    <m/>
    <m/>
  </r>
  <r>
    <x v="4"/>
    <x v="4"/>
    <x v="0"/>
    <m/>
    <x v="1"/>
    <m/>
    <m/>
    <m/>
    <m/>
    <m/>
    <x v="1"/>
    <x v="0"/>
    <m/>
    <m/>
    <m/>
    <m/>
    <m/>
    <m/>
    <m/>
    <m/>
  </r>
  <r>
    <x v="5"/>
    <x v="5"/>
    <x v="2"/>
    <s v="Drawings list"/>
    <x v="2"/>
    <s v="S. Remaudière, R. Bernard "/>
    <n v="1"/>
    <m/>
    <m/>
    <m/>
    <x v="2"/>
    <x v="1"/>
    <m/>
    <m/>
    <m/>
    <m/>
    <m/>
    <m/>
    <m/>
    <m/>
  </r>
  <r>
    <x v="6"/>
    <x v="6"/>
    <x v="3"/>
    <s v="Packaging drawings"/>
    <x v="2"/>
    <s v="S. Remaudière, R. Bernard "/>
    <n v="12"/>
    <m/>
    <m/>
    <m/>
    <x v="2"/>
    <x v="1"/>
    <m/>
    <m/>
    <m/>
    <m/>
    <m/>
    <m/>
    <m/>
    <m/>
  </r>
  <r>
    <x v="6"/>
    <x v="6"/>
    <x v="4"/>
    <s v="Components drawings"/>
    <x v="2"/>
    <s v="S. Remaudière, R. Bernard "/>
    <n v="175"/>
    <m/>
    <m/>
    <m/>
    <x v="2"/>
    <x v="1"/>
    <m/>
    <m/>
    <m/>
    <m/>
    <m/>
    <m/>
    <m/>
    <m/>
  </r>
  <r>
    <x v="7"/>
    <x v="7"/>
    <x v="5"/>
    <s v="Global Material List"/>
    <x v="0"/>
    <s v="M. Bardon, C. Nandelec"/>
    <n v="1"/>
    <m/>
    <m/>
    <m/>
    <x v="0"/>
    <x v="0"/>
    <m/>
    <m/>
    <m/>
    <m/>
    <m/>
    <m/>
    <m/>
    <m/>
  </r>
  <r>
    <x v="6"/>
    <x v="6"/>
    <x v="6"/>
    <s v="COM "/>
    <x v="2"/>
    <s v="S. Remaudière, R. Bernard "/>
    <n v="1"/>
    <m/>
    <m/>
    <m/>
    <x v="2"/>
    <x v="1"/>
    <m/>
    <m/>
    <m/>
    <m/>
    <m/>
    <m/>
    <m/>
    <m/>
  </r>
  <r>
    <x v="6"/>
    <x v="6"/>
    <x v="7"/>
    <s v="CMR ED"/>
    <x v="0"/>
    <s v="M. Bardon, C. Nandelec"/>
    <n v="1"/>
    <m/>
    <m/>
    <m/>
    <x v="0"/>
    <x v="0"/>
    <m/>
    <m/>
    <m/>
    <m/>
    <m/>
    <m/>
    <m/>
    <m/>
  </r>
  <r>
    <x v="8"/>
    <x v="8"/>
    <x v="8"/>
    <s v="Raw materials"/>
    <x v="0"/>
    <s v="M. Bardon, C. Nandelec"/>
    <n v="50"/>
    <m/>
    <m/>
    <m/>
    <x v="0"/>
    <x v="0"/>
    <m/>
    <m/>
    <m/>
    <m/>
    <m/>
    <m/>
    <m/>
    <m/>
  </r>
  <r>
    <x v="6"/>
    <x v="6"/>
    <x v="9"/>
    <s v="Additives"/>
    <x v="0"/>
    <s v="M. Bardon, C. Nandelec"/>
    <n v="11"/>
    <m/>
    <m/>
    <m/>
    <x v="0"/>
    <x v="0"/>
    <m/>
    <m/>
    <m/>
    <m/>
    <m/>
    <m/>
    <m/>
    <m/>
  </r>
  <r>
    <x v="6"/>
    <x v="6"/>
    <x v="10"/>
    <s v="Processing aids"/>
    <x v="0"/>
    <s v="M. Bardon, C. Nandelec"/>
    <n v="27"/>
    <m/>
    <m/>
    <m/>
    <x v="0"/>
    <x v="0"/>
    <m/>
    <m/>
    <m/>
    <m/>
    <m/>
    <m/>
    <m/>
    <m/>
  </r>
  <r>
    <x v="6"/>
    <x v="6"/>
    <x v="11"/>
    <s v="Primary packaging"/>
    <x v="0"/>
    <s v="M. Bardon, C. Nandelec"/>
    <n v="8"/>
    <m/>
    <m/>
    <m/>
    <x v="0"/>
    <x v="0"/>
    <m/>
    <m/>
    <m/>
    <m/>
    <m/>
    <m/>
    <m/>
    <m/>
  </r>
  <r>
    <x v="9"/>
    <x v="9"/>
    <x v="0"/>
    <m/>
    <x v="1"/>
    <m/>
    <m/>
    <m/>
    <m/>
    <m/>
    <x v="1"/>
    <x v="0"/>
    <m/>
    <m/>
    <m/>
    <m/>
    <m/>
    <m/>
    <m/>
    <m/>
  </r>
  <r>
    <x v="10"/>
    <x v="10"/>
    <x v="12"/>
    <s v="MMC"/>
    <x v="3"/>
    <s v="C. Caplier"/>
    <n v="1"/>
    <m/>
    <m/>
    <m/>
    <x v="2"/>
    <x v="2"/>
    <s v="5-1-00-001"/>
    <s v="5-1-00-001-1"/>
    <m/>
    <m/>
    <m/>
    <m/>
    <m/>
    <m/>
  </r>
  <r>
    <x v="6"/>
    <x v="6"/>
    <x v="13"/>
    <s v="GBOM"/>
    <x v="2"/>
    <s v="S. Remaudière, R. Bernard "/>
    <n v="1"/>
    <m/>
    <m/>
    <m/>
    <x v="2"/>
    <x v="1"/>
    <s v="5-1-04"/>
    <s v="5-1-04-000-6"/>
    <m/>
    <m/>
    <m/>
    <m/>
    <m/>
    <m/>
  </r>
  <r>
    <x v="11"/>
    <x v="11"/>
    <x v="14"/>
    <s v="Packaging specification"/>
    <x v="2"/>
    <s v="S. Remaudière, R. Bernard "/>
    <n v="1"/>
    <m/>
    <m/>
    <m/>
    <x v="2"/>
    <x v="1"/>
    <s v="4-2-05"/>
    <s v="Template SPP"/>
    <m/>
    <m/>
    <m/>
    <m/>
    <m/>
    <m/>
  </r>
  <r>
    <x v="12"/>
    <x v="12"/>
    <x v="0"/>
    <m/>
    <x v="1"/>
    <m/>
    <m/>
    <m/>
    <m/>
    <m/>
    <x v="1"/>
    <x v="0"/>
    <m/>
    <m/>
    <m/>
    <m/>
    <m/>
    <m/>
    <m/>
    <m/>
  </r>
  <r>
    <x v="13"/>
    <x v="13"/>
    <x v="0"/>
    <m/>
    <x v="1"/>
    <m/>
    <m/>
    <m/>
    <m/>
    <m/>
    <x v="1"/>
    <x v="0"/>
    <m/>
    <m/>
    <m/>
    <m/>
    <m/>
    <m/>
    <m/>
    <m/>
  </r>
  <r>
    <x v="14"/>
    <x v="14"/>
    <x v="0"/>
    <m/>
    <x v="1"/>
    <m/>
    <m/>
    <m/>
    <m/>
    <m/>
    <x v="1"/>
    <x v="0"/>
    <m/>
    <m/>
    <m/>
    <m/>
    <m/>
    <m/>
    <m/>
    <m/>
  </r>
  <r>
    <x v="15"/>
    <x v="15"/>
    <x v="0"/>
    <m/>
    <x v="1"/>
    <m/>
    <m/>
    <m/>
    <m/>
    <m/>
    <x v="1"/>
    <x v="0"/>
    <m/>
    <m/>
    <m/>
    <m/>
    <m/>
    <m/>
    <m/>
    <m/>
  </r>
  <r>
    <x v="16"/>
    <x v="16"/>
    <x v="0"/>
    <m/>
    <x v="1"/>
    <m/>
    <m/>
    <m/>
    <m/>
    <m/>
    <x v="1"/>
    <x v="0"/>
    <m/>
    <m/>
    <m/>
    <m/>
    <m/>
    <m/>
    <m/>
    <m/>
  </r>
  <r>
    <x v="17"/>
    <x v="17"/>
    <x v="15"/>
    <s v="Labeling"/>
    <x v="4"/>
    <s v="F. Clergeaud, A. Lecossier"/>
    <n v="5"/>
    <m/>
    <m/>
    <m/>
    <x v="2"/>
    <x v="3"/>
    <s v="4-1-07-007"/>
    <s v="4-1-07-007-4"/>
    <s v="N"/>
    <s v="X"/>
    <s v="N/A"/>
    <s v="N/A"/>
    <s v="N"/>
    <s v="N"/>
  </r>
  <r>
    <x v="18"/>
    <x v="18"/>
    <x v="16"/>
    <s v="IFU"/>
    <x v="4"/>
    <s v="F. Clergeaud, A. Lecossier"/>
    <n v="1"/>
    <m/>
    <m/>
    <m/>
    <x v="2"/>
    <x v="3"/>
    <s v="4-1-07-007"/>
    <s v="4-1-07-007-4"/>
    <s v="N"/>
    <s v="X"/>
    <s v="N/A"/>
    <s v="N/A"/>
    <s v="N"/>
    <s v="N"/>
  </r>
  <r>
    <x v="6"/>
    <x v="6"/>
    <x v="17"/>
    <s v="Implant card"/>
    <x v="4"/>
    <s v="F. Clergeaud, A. Lecossier"/>
    <n v="1"/>
    <m/>
    <m/>
    <m/>
    <x v="2"/>
    <x v="3"/>
    <s v="4-1-07-007"/>
    <m/>
    <s v="N"/>
    <s v="X"/>
    <s v="N/A"/>
    <s v="N/A"/>
    <s v="N"/>
    <s v="N"/>
  </r>
  <r>
    <x v="6"/>
    <x v="6"/>
    <x v="18"/>
    <s v="patient label"/>
    <x v="4"/>
    <s v="F. Clergeaud, A. Lecossier"/>
    <n v="1"/>
    <m/>
    <m/>
    <m/>
    <x v="2"/>
    <x v="3"/>
    <s v="4-1-07-007"/>
    <m/>
    <s v="N"/>
    <s v="X"/>
    <s v="N/A"/>
    <s v="N/A"/>
    <s v="N"/>
    <s v="N"/>
  </r>
  <r>
    <x v="6"/>
    <x v="6"/>
    <x v="19"/>
    <s v="PIL"/>
    <x v="4"/>
    <s v="F. Clergeaud, A. Lecossier"/>
    <n v="1"/>
    <m/>
    <m/>
    <m/>
    <x v="2"/>
    <x v="3"/>
    <s v="4-1-07-007"/>
    <m/>
    <s v="N"/>
    <s v="X"/>
    <s v="N/A"/>
    <s v="N/A"/>
    <s v="N"/>
    <s v="N"/>
  </r>
  <r>
    <x v="19"/>
    <x v="19"/>
    <x v="20"/>
    <s v="Brochure"/>
    <x v="4"/>
    <s v="F. Clergeaud, A. Lecossier"/>
    <n v="1"/>
    <m/>
    <m/>
    <m/>
    <x v="2"/>
    <x v="3"/>
    <s v="4-1-07-009"/>
    <m/>
    <s v="N"/>
    <s v="X"/>
    <s v="N/A"/>
    <s v="N/A"/>
    <s v="N"/>
    <s v="N"/>
  </r>
  <r>
    <x v="20"/>
    <x v="20"/>
    <x v="0"/>
    <m/>
    <x v="1"/>
    <m/>
    <m/>
    <m/>
    <m/>
    <m/>
    <x v="1"/>
    <x v="0"/>
    <m/>
    <m/>
    <m/>
    <m/>
    <m/>
    <m/>
    <m/>
    <m/>
  </r>
  <r>
    <x v="21"/>
    <x v="21"/>
    <x v="0"/>
    <m/>
    <x v="1"/>
    <m/>
    <m/>
    <m/>
    <m/>
    <m/>
    <x v="1"/>
    <x v="0"/>
    <m/>
    <m/>
    <m/>
    <m/>
    <m/>
    <m/>
    <m/>
    <m/>
  </r>
  <r>
    <x v="22"/>
    <x v="22"/>
    <x v="21"/>
    <s v="design review"/>
    <x v="3"/>
    <s v="C. Caplier"/>
    <n v="3"/>
    <m/>
    <m/>
    <m/>
    <x v="2"/>
    <x v="2"/>
    <s v="5-1-00-002"/>
    <s v="5-1-00-002-4"/>
    <m/>
    <m/>
    <m/>
    <m/>
    <m/>
    <m/>
  </r>
  <r>
    <x v="23"/>
    <x v="23"/>
    <x v="22"/>
    <s v="supplier list"/>
    <x v="5"/>
    <s v="C. Paillard"/>
    <n v="1"/>
    <m/>
    <m/>
    <m/>
    <x v="2"/>
    <x v="4"/>
    <m/>
    <m/>
    <m/>
    <m/>
    <m/>
    <m/>
    <m/>
    <m/>
  </r>
  <r>
    <x v="24"/>
    <x v="24"/>
    <x v="23"/>
    <s v="BOM"/>
    <x v="6"/>
    <s v="P. Rousselot, C. Bouchet, S. Girard ; A. David, K. Robert, C. Madronet"/>
    <n v="6"/>
    <m/>
    <m/>
    <m/>
    <x v="0"/>
    <x v="0"/>
    <m/>
    <m/>
    <m/>
    <m/>
    <m/>
    <m/>
    <m/>
    <m/>
  </r>
  <r>
    <x v="6"/>
    <x v="6"/>
    <x v="24"/>
    <s v="FMCS"/>
    <x v="6"/>
    <s v="P. Rousselot, C. Bouchet, S. Girard ; A. David, K. Robert, C. Madronet"/>
    <n v="1"/>
    <m/>
    <m/>
    <m/>
    <x v="0"/>
    <x v="0"/>
    <s v="5-1-06"/>
    <s v="5-1-06-000-4"/>
    <m/>
    <m/>
    <m/>
    <m/>
    <m/>
    <m/>
  </r>
  <r>
    <x v="6"/>
    <x v="6"/>
    <x v="0"/>
    <s v="FMC"/>
    <x v="6"/>
    <s v="P. Rousselot, C. Bouchet, S. Girard ; A. David, K. Robert, C. Madronet"/>
    <n v="14"/>
    <m/>
    <m/>
    <m/>
    <x v="0"/>
    <x v="0"/>
    <s v="5-1-06"/>
    <s v="5-1-06-000-2"/>
    <m/>
    <m/>
    <m/>
    <m/>
    <m/>
    <m/>
  </r>
  <r>
    <x v="6"/>
    <x v="6"/>
    <x v="0"/>
    <s v="annexes FMC (FP/PED/PLC/VPS)"/>
    <x v="6"/>
    <s v="P. Rousselot, C. Bouchet, S. Girard ; A. David, K. Robert, C. Madronet"/>
    <n v="45"/>
    <m/>
    <m/>
    <m/>
    <x v="0"/>
    <x v="0"/>
    <s v="N/A"/>
    <s v="N/A"/>
    <m/>
    <m/>
    <m/>
    <m/>
    <m/>
    <m/>
  </r>
  <r>
    <x v="25"/>
    <x v="25"/>
    <x v="0"/>
    <m/>
    <x v="1"/>
    <m/>
    <m/>
    <m/>
    <m/>
    <m/>
    <x v="1"/>
    <x v="0"/>
    <m/>
    <m/>
    <m/>
    <m/>
    <m/>
    <m/>
    <m/>
    <m/>
  </r>
  <r>
    <x v="26"/>
    <x v="26"/>
    <x v="0"/>
    <m/>
    <x v="1"/>
    <m/>
    <m/>
    <m/>
    <m/>
    <m/>
    <x v="1"/>
    <x v="0"/>
    <m/>
    <m/>
    <m/>
    <m/>
    <m/>
    <m/>
    <m/>
    <m/>
  </r>
  <r>
    <x v="27"/>
    <x v="27"/>
    <x v="25"/>
    <s v="GSPR"/>
    <x v="0"/>
    <s v="M. Bardon, C. Nandelec"/>
    <n v="1"/>
    <m/>
    <m/>
    <m/>
    <x v="0"/>
    <x v="0"/>
    <s v="4-1-07-003"/>
    <s v="4-1-07-003-2"/>
    <m/>
    <m/>
    <m/>
    <m/>
    <m/>
    <m/>
  </r>
  <r>
    <x v="28"/>
    <x v="28"/>
    <x v="26"/>
    <s v="Standard listing"/>
    <x v="0"/>
    <s v="M. Bardon, C. Nandelec"/>
    <n v="1"/>
    <m/>
    <m/>
    <m/>
    <x v="0"/>
    <x v="0"/>
    <s v="5-1-00-004"/>
    <s v="5-1-00-004-1"/>
    <m/>
    <m/>
    <m/>
    <m/>
    <m/>
    <m/>
  </r>
  <r>
    <x v="6"/>
    <x v="6"/>
    <x v="27"/>
    <s v="SAM"/>
    <x v="0"/>
    <s v="M. Bardon, C. Nandelec"/>
    <n v="16"/>
    <m/>
    <m/>
    <m/>
    <x v="0"/>
    <x v="0"/>
    <s v="5-1-00-004"/>
    <s v="5-1-00-004-2"/>
    <m/>
    <m/>
    <m/>
    <m/>
    <m/>
    <m/>
  </r>
  <r>
    <x v="29"/>
    <x v="29"/>
    <x v="28"/>
    <s v="PRM"/>
    <x v="7"/>
    <s v="C. Jung-Debote"/>
    <n v="1"/>
    <m/>
    <m/>
    <m/>
    <x v="2"/>
    <x v="5"/>
    <s v="4-2-07"/>
    <s v="4-2-07-000-1"/>
    <s v="N"/>
    <m/>
    <m/>
    <m/>
    <m/>
    <m/>
  </r>
  <r>
    <x v="6"/>
    <x v="6"/>
    <x v="29"/>
    <s v="Benefit-risk"/>
    <x v="7"/>
    <s v="C. Jung-Debote"/>
    <n v="1"/>
    <m/>
    <m/>
    <m/>
    <x v="2"/>
    <x v="5"/>
    <s v="4-2-07"/>
    <s v="4-2-07-000-5"/>
    <s v="N"/>
    <m/>
    <m/>
    <m/>
    <m/>
    <m/>
  </r>
  <r>
    <x v="30"/>
    <x v="30"/>
    <x v="0"/>
    <m/>
    <x v="1"/>
    <m/>
    <m/>
    <m/>
    <m/>
    <m/>
    <x v="1"/>
    <x v="0"/>
    <m/>
    <m/>
    <m/>
    <m/>
    <m/>
    <m/>
    <m/>
    <m/>
  </r>
  <r>
    <x v="31"/>
    <x v="31"/>
    <x v="0"/>
    <m/>
    <x v="1"/>
    <m/>
    <m/>
    <m/>
    <m/>
    <m/>
    <x v="1"/>
    <x v="0"/>
    <m/>
    <m/>
    <m/>
    <m/>
    <m/>
    <m/>
    <m/>
    <m/>
  </r>
  <r>
    <x v="32"/>
    <x v="32"/>
    <x v="0"/>
    <m/>
    <x v="1"/>
    <m/>
    <m/>
    <m/>
    <m/>
    <m/>
    <x v="1"/>
    <x v="0"/>
    <m/>
    <m/>
    <m/>
    <m/>
    <m/>
    <m/>
    <m/>
    <m/>
  </r>
  <r>
    <x v="33"/>
    <x v="33"/>
    <x v="0"/>
    <m/>
    <x v="1"/>
    <m/>
    <m/>
    <m/>
    <m/>
    <m/>
    <x v="1"/>
    <x v="0"/>
    <m/>
    <m/>
    <m/>
    <m/>
    <m/>
    <m/>
    <m/>
    <m/>
  </r>
  <r>
    <x v="34"/>
    <x v="34"/>
    <x v="0"/>
    <m/>
    <x v="1"/>
    <m/>
    <m/>
    <m/>
    <m/>
    <m/>
    <x v="1"/>
    <x v="0"/>
    <m/>
    <m/>
    <m/>
    <m/>
    <m/>
    <m/>
    <m/>
    <m/>
  </r>
  <r>
    <x v="35"/>
    <x v="35"/>
    <x v="30"/>
    <s v="DVR"/>
    <x v="8"/>
    <s v="C. Hennault, A. Claisse, H. Vaillant"/>
    <n v="1"/>
    <m/>
    <m/>
    <m/>
    <x v="0"/>
    <x v="0"/>
    <s v="5-1-05-010"/>
    <s v="5-1-05-010-1"/>
    <m/>
    <m/>
    <m/>
    <m/>
    <m/>
    <m/>
  </r>
  <r>
    <x v="6"/>
    <x v="6"/>
    <x v="0"/>
    <s v="Annexes DVR (PED)"/>
    <x v="1"/>
    <m/>
    <n v="19"/>
    <m/>
    <m/>
    <m/>
    <x v="1"/>
    <x v="0"/>
    <m/>
    <m/>
    <m/>
    <m/>
    <m/>
    <m/>
    <m/>
    <m/>
  </r>
  <r>
    <x v="6"/>
    <x v="6"/>
    <x v="0"/>
    <s v="Annexes DVR (certif)"/>
    <x v="1"/>
    <m/>
    <n v="6"/>
    <m/>
    <m/>
    <m/>
    <x v="1"/>
    <x v="0"/>
    <m/>
    <m/>
    <m/>
    <m/>
    <m/>
    <m/>
    <m/>
    <m/>
  </r>
  <r>
    <x v="6"/>
    <x v="6"/>
    <x v="0"/>
    <s v="Annexes DVR (test report)"/>
    <x v="1"/>
    <m/>
    <n v="83"/>
    <m/>
    <m/>
    <m/>
    <x v="1"/>
    <x v="0"/>
    <m/>
    <m/>
    <m/>
    <m/>
    <m/>
    <m/>
    <m/>
    <m/>
  </r>
  <r>
    <x v="6"/>
    <x v="6"/>
    <x v="0"/>
    <m/>
    <x v="1"/>
    <m/>
    <m/>
    <m/>
    <m/>
    <m/>
    <x v="1"/>
    <x v="0"/>
    <m/>
    <m/>
    <m/>
    <m/>
    <m/>
    <m/>
    <m/>
    <m/>
  </r>
  <r>
    <x v="6"/>
    <x v="6"/>
    <x v="31"/>
    <s v="FDC"/>
    <x v="8"/>
    <s v="C. Hennault, A. Claisse, H. Vaillant"/>
    <n v="1"/>
    <m/>
    <m/>
    <m/>
    <x v="0"/>
    <x v="0"/>
    <s v="?"/>
    <s v="Pas de numéro"/>
    <m/>
    <m/>
    <m/>
    <m/>
    <m/>
    <m/>
  </r>
  <r>
    <x v="6"/>
    <x v="6"/>
    <x v="32"/>
    <s v="MDC"/>
    <x v="2"/>
    <s v="S. Remaudière, R. Bernard "/>
    <n v="1"/>
    <m/>
    <m/>
    <m/>
    <x v="2"/>
    <x v="1"/>
    <s v="5-1-04"/>
    <s v="5-1-04-000-5"/>
    <m/>
    <m/>
    <m/>
    <m/>
    <m/>
    <m/>
  </r>
  <r>
    <x v="36"/>
    <x v="36"/>
    <x v="0"/>
    <m/>
    <x v="1"/>
    <m/>
    <m/>
    <m/>
    <m/>
    <m/>
    <x v="1"/>
    <x v="0"/>
    <m/>
    <m/>
    <m/>
    <m/>
    <m/>
    <m/>
    <m/>
    <m/>
  </r>
  <r>
    <x v="37"/>
    <x v="37"/>
    <x v="0"/>
    <m/>
    <x v="1"/>
    <m/>
    <m/>
    <m/>
    <m/>
    <m/>
    <x v="1"/>
    <x v="0"/>
    <m/>
    <m/>
    <m/>
    <m/>
    <m/>
    <m/>
    <m/>
    <m/>
  </r>
  <r>
    <x v="38"/>
    <x v="38"/>
    <x v="0"/>
    <m/>
    <x v="1"/>
    <m/>
    <m/>
    <m/>
    <m/>
    <m/>
    <x v="1"/>
    <x v="0"/>
    <m/>
    <m/>
    <m/>
    <m/>
    <m/>
    <m/>
    <m/>
    <m/>
  </r>
  <r>
    <x v="39"/>
    <x v="39"/>
    <x v="0"/>
    <m/>
    <x v="1"/>
    <m/>
    <m/>
    <m/>
    <m/>
    <m/>
    <x v="1"/>
    <x v="0"/>
    <m/>
    <m/>
    <m/>
    <m/>
    <m/>
    <m/>
    <m/>
    <m/>
  </r>
  <r>
    <x v="40"/>
    <x v="40"/>
    <x v="0"/>
    <m/>
    <x v="1"/>
    <m/>
    <m/>
    <m/>
    <m/>
    <m/>
    <x v="1"/>
    <x v="0"/>
    <m/>
    <m/>
    <m/>
    <m/>
    <m/>
    <m/>
    <m/>
    <m/>
  </r>
  <r>
    <x v="41"/>
    <x v="41"/>
    <x v="0"/>
    <m/>
    <x v="1"/>
    <m/>
    <m/>
    <m/>
    <m/>
    <m/>
    <x v="1"/>
    <x v="0"/>
    <m/>
    <m/>
    <m/>
    <m/>
    <m/>
    <m/>
    <m/>
    <m/>
  </r>
  <r>
    <x v="42"/>
    <x v="42"/>
    <x v="0"/>
    <m/>
    <x v="1"/>
    <m/>
    <m/>
    <m/>
    <m/>
    <m/>
    <x v="1"/>
    <x v="0"/>
    <m/>
    <m/>
    <m/>
    <m/>
    <m/>
    <m/>
    <m/>
    <m/>
  </r>
  <r>
    <x v="43"/>
    <x v="43"/>
    <x v="0"/>
    <m/>
    <x v="1"/>
    <m/>
    <m/>
    <m/>
    <m/>
    <m/>
    <x v="1"/>
    <x v="0"/>
    <m/>
    <m/>
    <m/>
    <m/>
    <m/>
    <m/>
    <m/>
    <m/>
  </r>
  <r>
    <x v="44"/>
    <x v="44"/>
    <x v="33"/>
    <s v="Biological Risk Assessment (BRA)"/>
    <x v="9"/>
    <s v="M. Bardon"/>
    <n v="1"/>
    <m/>
    <m/>
    <m/>
    <x v="0"/>
    <x v="0"/>
    <s v="5-1-05-003"/>
    <s v="5-1-05-003-2"/>
    <m/>
    <m/>
    <m/>
    <m/>
    <m/>
    <m/>
  </r>
  <r>
    <x v="6"/>
    <x v="6"/>
    <x v="33"/>
    <s v="Biological Evaluation Report (BER)"/>
    <x v="9"/>
    <s v="M. Bardon"/>
    <n v="13"/>
    <m/>
    <m/>
    <m/>
    <x v="0"/>
    <x v="0"/>
    <s v="5-1-05-003"/>
    <s v="5-1-05-003-1"/>
    <m/>
    <m/>
    <m/>
    <m/>
    <m/>
    <m/>
  </r>
  <r>
    <x v="45"/>
    <x v="42"/>
    <x v="33"/>
    <s v="Test Reports"/>
    <x v="9"/>
    <s v="M. Bardon"/>
    <n v="89"/>
    <m/>
    <m/>
    <m/>
    <x v="0"/>
    <x v="0"/>
    <s v="?"/>
    <s v="Docs fournisseurs"/>
    <m/>
    <m/>
    <m/>
    <m/>
    <m/>
    <m/>
  </r>
  <r>
    <x v="46"/>
    <x v="45"/>
    <x v="33"/>
    <s v="Literature Search"/>
    <x v="9"/>
    <s v="M. Bardon"/>
    <n v="64"/>
    <m/>
    <m/>
    <m/>
    <x v="0"/>
    <x v="0"/>
    <s v="?"/>
    <s v="Pas de numéro"/>
    <m/>
    <m/>
    <m/>
    <m/>
    <m/>
    <m/>
  </r>
  <r>
    <x v="6"/>
    <x v="6"/>
    <x v="33"/>
    <s v="Chemical Risk Assessment (CRA)"/>
    <x v="9"/>
    <s v="M. Bardon"/>
    <n v="11"/>
    <m/>
    <m/>
    <m/>
    <x v="0"/>
    <x v="0"/>
    <s v="5-1-05-003"/>
    <s v="5-1-05-003-3"/>
    <m/>
    <m/>
    <m/>
    <m/>
    <m/>
    <m/>
  </r>
  <r>
    <x v="6"/>
    <x v="6"/>
    <x v="33"/>
    <s v="Supplier data"/>
    <x v="9"/>
    <s v="M. Bardon"/>
    <n v="16"/>
    <m/>
    <m/>
    <m/>
    <x v="0"/>
    <x v="0"/>
    <s v="?"/>
    <s v="Docs fournisseurs"/>
    <m/>
    <m/>
    <m/>
    <m/>
    <m/>
    <m/>
  </r>
  <r>
    <x v="6"/>
    <x v="6"/>
    <x v="33"/>
    <s v="GLP Certificates"/>
    <x v="9"/>
    <s v="M. Bardon"/>
    <n v="4"/>
    <m/>
    <m/>
    <m/>
    <x v="0"/>
    <x v="0"/>
    <s v="?"/>
    <s v="Docs fournisseurs"/>
    <m/>
    <m/>
    <m/>
    <m/>
    <m/>
    <m/>
  </r>
  <r>
    <x v="6"/>
    <x v="6"/>
    <x v="33"/>
    <s v="Biological Evaluation of change (BEC)"/>
    <x v="9"/>
    <s v="M. Bardon"/>
    <n v="1"/>
    <m/>
    <m/>
    <m/>
    <x v="0"/>
    <x v="0"/>
    <s v="5-1-05-003"/>
    <s v="5-1-05-003-5"/>
    <m/>
    <m/>
    <m/>
    <m/>
    <m/>
    <m/>
  </r>
  <r>
    <x v="47"/>
    <x v="46"/>
    <x v="0"/>
    <m/>
    <x v="1"/>
    <m/>
    <m/>
    <m/>
    <m/>
    <m/>
    <x v="1"/>
    <x v="0"/>
    <m/>
    <m/>
    <m/>
    <m/>
    <m/>
    <m/>
    <m/>
    <m/>
  </r>
  <r>
    <x v="48"/>
    <x v="47"/>
    <x v="0"/>
    <m/>
    <x v="1"/>
    <m/>
    <m/>
    <m/>
    <m/>
    <m/>
    <x v="1"/>
    <x v="0"/>
    <m/>
    <m/>
    <m/>
    <m/>
    <m/>
    <m/>
    <m/>
    <m/>
  </r>
  <r>
    <x v="49"/>
    <x v="48"/>
    <x v="0"/>
    <m/>
    <x v="1"/>
    <m/>
    <m/>
    <m/>
    <m/>
    <m/>
    <x v="1"/>
    <x v="0"/>
    <m/>
    <m/>
    <m/>
    <m/>
    <m/>
    <m/>
    <m/>
    <m/>
  </r>
  <r>
    <x v="50"/>
    <x v="49"/>
    <x v="0"/>
    <m/>
    <x v="1"/>
    <m/>
    <m/>
    <m/>
    <m/>
    <m/>
    <x v="1"/>
    <x v="0"/>
    <m/>
    <m/>
    <m/>
    <m/>
    <m/>
    <m/>
    <m/>
    <m/>
  </r>
  <r>
    <x v="51"/>
    <x v="50"/>
    <x v="0"/>
    <m/>
    <x v="1"/>
    <m/>
    <m/>
    <m/>
    <m/>
    <m/>
    <x v="1"/>
    <x v="0"/>
    <m/>
    <m/>
    <m/>
    <m/>
    <m/>
    <m/>
    <m/>
    <m/>
  </r>
  <r>
    <x v="52"/>
    <x v="51"/>
    <x v="0"/>
    <m/>
    <x v="1"/>
    <m/>
    <m/>
    <m/>
    <m/>
    <m/>
    <x v="1"/>
    <x v="0"/>
    <m/>
    <m/>
    <m/>
    <m/>
    <m/>
    <m/>
    <m/>
    <m/>
  </r>
  <r>
    <x v="53"/>
    <x v="30"/>
    <x v="34"/>
    <s v="CEP"/>
    <x v="10"/>
    <s v="F. Clergeaud"/>
    <n v="1"/>
    <m/>
    <m/>
    <m/>
    <x v="0"/>
    <x v="0"/>
    <s v="4-1-07-001"/>
    <s v="4-1-07-001-1"/>
    <m/>
    <m/>
    <m/>
    <m/>
    <m/>
    <m/>
  </r>
  <r>
    <x v="54"/>
    <x v="52"/>
    <x v="35"/>
    <s v="CER"/>
    <x v="10"/>
    <s v="F. Clergeaud"/>
    <n v="1"/>
    <m/>
    <m/>
    <m/>
    <x v="0"/>
    <x v="0"/>
    <s v="4-1-07-001"/>
    <s v="4-1-07-001-2"/>
    <m/>
    <m/>
    <m/>
    <m/>
    <m/>
    <m/>
  </r>
  <r>
    <x v="6"/>
    <x v="6"/>
    <x v="0"/>
    <s v="annexes CER"/>
    <x v="1"/>
    <m/>
    <n v="26"/>
    <m/>
    <m/>
    <m/>
    <x v="1"/>
    <x v="0"/>
    <m/>
    <m/>
    <m/>
    <m/>
    <m/>
    <m/>
    <m/>
    <m/>
  </r>
  <r>
    <x v="55"/>
    <x v="53"/>
    <x v="36"/>
    <s v="PMCF Plan"/>
    <x v="10"/>
    <s v="F. Clergeaud"/>
    <n v="1"/>
    <m/>
    <m/>
    <m/>
    <x v="0"/>
    <x v="0"/>
    <s v="4-1-05"/>
    <s v="4-1-05-000-4"/>
    <m/>
    <m/>
    <m/>
    <m/>
    <m/>
    <m/>
  </r>
  <r>
    <x v="56"/>
    <x v="54"/>
    <x v="37"/>
    <s v="PMCF Report"/>
    <x v="10"/>
    <s v="F. Clergeaud"/>
    <n v="1"/>
    <m/>
    <m/>
    <m/>
    <x v="0"/>
    <x v="0"/>
    <s v="4-1-05"/>
    <s v="4-1-05-000-5"/>
    <m/>
    <m/>
    <m/>
    <m/>
    <m/>
    <m/>
  </r>
  <r>
    <x v="57"/>
    <x v="55"/>
    <x v="38"/>
    <s v="SSCP"/>
    <x v="0"/>
    <s v="M. Bardon, C. Nandelec"/>
    <n v="1"/>
    <m/>
    <m/>
    <m/>
    <x v="0"/>
    <x v="0"/>
    <s v="4-1-07-003"/>
    <s v="4-1-07-003-3"/>
    <m/>
    <m/>
    <m/>
    <m/>
    <m/>
    <m/>
  </r>
  <r>
    <x v="58"/>
    <x v="56"/>
    <x v="0"/>
    <m/>
    <x v="1"/>
    <m/>
    <m/>
    <m/>
    <m/>
    <m/>
    <x v="1"/>
    <x v="0"/>
    <m/>
    <m/>
    <m/>
    <m/>
    <m/>
    <m/>
    <m/>
    <m/>
  </r>
  <r>
    <x v="59"/>
    <x v="57"/>
    <x v="0"/>
    <m/>
    <x v="1"/>
    <m/>
    <m/>
    <m/>
    <m/>
    <m/>
    <x v="1"/>
    <x v="0"/>
    <m/>
    <m/>
    <m/>
    <m/>
    <m/>
    <m/>
    <m/>
    <m/>
  </r>
  <r>
    <x v="60"/>
    <x v="58"/>
    <x v="39"/>
    <s v="DVS"/>
    <x v="11"/>
    <s v="C. Caplier"/>
    <n v="1"/>
    <m/>
    <m/>
    <m/>
    <x v="0"/>
    <x v="0"/>
    <s v="5-1-08"/>
    <s v="5-1-08-000-14"/>
    <m/>
    <m/>
    <m/>
    <m/>
    <m/>
    <m/>
  </r>
  <r>
    <x v="61"/>
    <x v="59"/>
    <x v="31"/>
    <s v="Usability"/>
    <x v="12"/>
    <s v="C. Caplier"/>
    <n v="1"/>
    <m/>
    <m/>
    <m/>
    <x v="2"/>
    <x v="2"/>
    <s v="5-1-00-013"/>
    <m/>
    <m/>
    <m/>
    <m/>
    <m/>
    <m/>
    <m/>
  </r>
  <r>
    <x v="62"/>
    <x v="60"/>
    <x v="40"/>
    <s v="Packaging"/>
    <x v="13"/>
    <s v="K. Robert"/>
    <n v="1"/>
    <m/>
    <m/>
    <m/>
    <x v="0"/>
    <x v="0"/>
    <m/>
    <m/>
    <m/>
    <m/>
    <m/>
    <m/>
    <m/>
    <m/>
  </r>
  <r>
    <x v="6"/>
    <x v="6"/>
    <x v="0"/>
    <s v="annexes PVR"/>
    <x v="1"/>
    <m/>
    <n v="24"/>
    <m/>
    <m/>
    <m/>
    <x v="1"/>
    <x v="0"/>
    <m/>
    <m/>
    <m/>
    <m/>
    <m/>
    <m/>
    <m/>
    <m/>
  </r>
  <r>
    <x v="63"/>
    <x v="31"/>
    <x v="0"/>
    <m/>
    <x v="1"/>
    <m/>
    <m/>
    <m/>
    <m/>
    <m/>
    <x v="1"/>
    <x v="0"/>
    <m/>
    <m/>
    <m/>
    <m/>
    <m/>
    <m/>
    <m/>
    <m/>
  </r>
  <r>
    <x v="64"/>
    <x v="61"/>
    <x v="0"/>
    <m/>
    <x v="1"/>
    <m/>
    <m/>
    <m/>
    <m/>
    <m/>
    <x v="1"/>
    <x v="0"/>
    <m/>
    <m/>
    <m/>
    <m/>
    <m/>
    <m/>
    <m/>
    <m/>
  </r>
  <r>
    <x v="65"/>
    <x v="62"/>
    <x v="41"/>
    <s v="Sterilization"/>
    <x v="14"/>
    <s v="A. Janicot"/>
    <n v="1"/>
    <m/>
    <m/>
    <m/>
    <x v="0"/>
    <x v="6"/>
    <m/>
    <m/>
    <m/>
    <m/>
    <m/>
    <m/>
    <m/>
    <m/>
  </r>
  <r>
    <x v="6"/>
    <x v="6"/>
    <x v="0"/>
    <s v="annexes SER"/>
    <x v="1"/>
    <m/>
    <n v="54"/>
    <m/>
    <m/>
    <m/>
    <x v="1"/>
    <x v="0"/>
    <m/>
    <m/>
    <m/>
    <m/>
    <m/>
    <m/>
    <m/>
    <m/>
  </r>
  <r>
    <x v="66"/>
    <x v="63"/>
    <x v="0"/>
    <m/>
    <x v="1"/>
    <m/>
    <m/>
    <m/>
    <m/>
    <m/>
    <x v="1"/>
    <x v="0"/>
    <m/>
    <m/>
    <m/>
    <m/>
    <m/>
    <m/>
    <m/>
    <m/>
  </r>
  <r>
    <x v="67"/>
    <x v="31"/>
    <x v="0"/>
    <m/>
    <x v="1"/>
    <m/>
    <m/>
    <m/>
    <m/>
    <m/>
    <x v="1"/>
    <x v="0"/>
    <m/>
    <m/>
    <m/>
    <m/>
    <m/>
    <m/>
    <m/>
    <m/>
  </r>
  <r>
    <x v="68"/>
    <x v="61"/>
    <x v="0"/>
    <m/>
    <x v="1"/>
    <m/>
    <m/>
    <m/>
    <m/>
    <m/>
    <x v="1"/>
    <x v="0"/>
    <m/>
    <m/>
    <m/>
    <m/>
    <m/>
    <m/>
    <m/>
    <m/>
  </r>
  <r>
    <x v="69"/>
    <x v="64"/>
    <x v="42"/>
    <s v="validated processes"/>
    <x v="6"/>
    <s v="P. Rousselot, C. Bouchet, S. Girard ; A. David, K. Robert, C. Madronet"/>
    <n v="177"/>
    <m/>
    <m/>
    <m/>
    <x v="0"/>
    <x v="0"/>
    <m/>
    <m/>
    <m/>
    <m/>
    <m/>
    <m/>
    <m/>
    <m/>
  </r>
  <r>
    <x v="6"/>
    <x v="6"/>
    <x v="43"/>
    <s v="Cleaning"/>
    <x v="6"/>
    <s v="P. Rousselot, C. Bouchet, S. Girard ; A. David, K. Robert, C. Madronet"/>
    <n v="20"/>
    <m/>
    <m/>
    <m/>
    <x v="0"/>
    <x v="0"/>
    <m/>
    <m/>
    <m/>
    <m/>
    <m/>
    <m/>
    <m/>
    <m/>
  </r>
  <r>
    <x v="70"/>
    <x v="65"/>
    <x v="0"/>
    <m/>
    <x v="1"/>
    <m/>
    <m/>
    <m/>
    <m/>
    <m/>
    <x v="1"/>
    <x v="0"/>
    <m/>
    <m/>
    <m/>
    <m/>
    <m/>
    <m/>
    <m/>
    <m/>
  </r>
  <r>
    <x v="71"/>
    <x v="66"/>
    <x v="0"/>
    <m/>
    <x v="1"/>
    <m/>
    <m/>
    <m/>
    <m/>
    <m/>
    <x v="1"/>
    <x v="0"/>
    <m/>
    <m/>
    <m/>
    <m/>
    <m/>
    <m/>
    <m/>
    <m/>
  </r>
  <r>
    <x v="72"/>
    <x v="67"/>
    <x v="0"/>
    <m/>
    <x v="1"/>
    <m/>
    <m/>
    <m/>
    <m/>
    <m/>
    <x v="1"/>
    <x v="0"/>
    <m/>
    <m/>
    <m/>
    <m/>
    <m/>
    <m/>
    <m/>
    <m/>
  </r>
  <r>
    <x v="73"/>
    <x v="68"/>
    <x v="0"/>
    <m/>
    <x v="1"/>
    <m/>
    <m/>
    <m/>
    <m/>
    <m/>
    <x v="1"/>
    <x v="0"/>
    <m/>
    <m/>
    <m/>
    <m/>
    <m/>
    <m/>
    <m/>
    <m/>
  </r>
  <r>
    <x v="74"/>
    <x v="69"/>
    <x v="0"/>
    <m/>
    <x v="1"/>
    <m/>
    <m/>
    <m/>
    <m/>
    <m/>
    <x v="1"/>
    <x v="0"/>
    <m/>
    <m/>
    <m/>
    <m/>
    <m/>
    <m/>
    <m/>
    <m/>
  </r>
  <r>
    <x v="75"/>
    <x v="70"/>
    <x v="0"/>
    <m/>
    <x v="1"/>
    <m/>
    <m/>
    <m/>
    <m/>
    <m/>
    <x v="1"/>
    <x v="0"/>
    <m/>
    <m/>
    <m/>
    <m/>
    <m/>
    <m/>
    <m/>
    <m/>
  </r>
  <r>
    <x v="76"/>
    <x v="71"/>
    <x v="0"/>
    <m/>
    <x v="1"/>
    <m/>
    <m/>
    <m/>
    <m/>
    <m/>
    <x v="1"/>
    <x v="0"/>
    <m/>
    <m/>
    <m/>
    <m/>
    <m/>
    <m/>
    <m/>
    <m/>
  </r>
  <r>
    <x v="77"/>
    <x v="72"/>
    <x v="0"/>
    <m/>
    <x v="1"/>
    <m/>
    <m/>
    <m/>
    <m/>
    <m/>
    <x v="1"/>
    <x v="0"/>
    <m/>
    <m/>
    <m/>
    <m/>
    <m/>
    <m/>
    <m/>
    <m/>
  </r>
  <r>
    <x v="78"/>
    <x v="73"/>
    <x v="0"/>
    <m/>
    <x v="1"/>
    <m/>
    <m/>
    <m/>
    <m/>
    <m/>
    <x v="1"/>
    <x v="0"/>
    <m/>
    <m/>
    <m/>
    <m/>
    <m/>
    <m/>
    <m/>
    <m/>
  </r>
  <r>
    <x v="79"/>
    <x v="74"/>
    <x v="0"/>
    <m/>
    <x v="1"/>
    <m/>
    <m/>
    <m/>
    <m/>
    <m/>
    <x v="1"/>
    <x v="0"/>
    <m/>
    <m/>
    <m/>
    <m/>
    <m/>
    <m/>
    <m/>
    <m/>
  </r>
  <r>
    <x v="80"/>
    <x v="75"/>
    <x v="0"/>
    <m/>
    <x v="1"/>
    <m/>
    <m/>
    <m/>
    <m/>
    <m/>
    <x v="1"/>
    <x v="0"/>
    <m/>
    <m/>
    <m/>
    <m/>
    <m/>
    <m/>
    <m/>
    <m/>
  </r>
  <r>
    <x v="81"/>
    <x v="76"/>
    <x v="0"/>
    <m/>
    <x v="1"/>
    <m/>
    <m/>
    <m/>
    <m/>
    <m/>
    <x v="1"/>
    <x v="0"/>
    <m/>
    <m/>
    <m/>
    <m/>
    <m/>
    <m/>
    <m/>
    <m/>
  </r>
  <r>
    <x v="82"/>
    <x v="77"/>
    <x v="0"/>
    <m/>
    <x v="1"/>
    <m/>
    <m/>
    <m/>
    <m/>
    <m/>
    <x v="1"/>
    <x v="0"/>
    <m/>
    <m/>
    <m/>
    <m/>
    <m/>
    <m/>
    <m/>
    <m/>
  </r>
  <r>
    <x v="83"/>
    <x v="78"/>
    <x v="0"/>
    <m/>
    <x v="1"/>
    <m/>
    <m/>
    <m/>
    <m/>
    <m/>
    <x v="1"/>
    <x v="0"/>
    <m/>
    <m/>
    <m/>
    <m/>
    <m/>
    <m/>
    <m/>
    <m/>
  </r>
  <r>
    <x v="84"/>
    <x v="79"/>
    <x v="0"/>
    <m/>
    <x v="1"/>
    <m/>
    <m/>
    <m/>
    <m/>
    <m/>
    <x v="1"/>
    <x v="0"/>
    <m/>
    <m/>
    <m/>
    <m/>
    <m/>
    <m/>
    <m/>
    <m/>
  </r>
  <r>
    <x v="85"/>
    <x v="80"/>
    <x v="44"/>
    <s v="EC certificates (legacy devices)"/>
    <x v="0"/>
    <s v="M. Bardon, C. Nandelec"/>
    <n v="4"/>
    <m/>
    <m/>
    <m/>
    <x v="0"/>
    <x v="0"/>
    <m/>
    <m/>
    <m/>
    <m/>
    <m/>
    <m/>
    <m/>
    <m/>
  </r>
  <r>
    <x v="86"/>
    <x v="81"/>
    <x v="45"/>
    <s v="QMS certificates"/>
    <x v="0"/>
    <s v="M. Bardon, C. Nandelec"/>
    <n v="1"/>
    <m/>
    <m/>
    <m/>
    <x v="0"/>
    <x v="0"/>
    <m/>
    <m/>
    <m/>
    <m/>
    <m/>
    <m/>
    <m/>
    <m/>
  </r>
  <r>
    <x v="87"/>
    <x v="82"/>
    <x v="46"/>
    <s v="PMS Plan"/>
    <x v="15"/>
    <s v="C. Jung-Debote"/>
    <n v="1"/>
    <m/>
    <m/>
    <m/>
    <x v="2"/>
    <x v="5"/>
    <m/>
    <m/>
    <m/>
    <m/>
    <m/>
    <m/>
    <m/>
    <m/>
  </r>
  <r>
    <x v="6"/>
    <x v="6"/>
    <x v="47"/>
    <s v="PSUR"/>
    <x v="15"/>
    <s v="C. Jung-Debote"/>
    <n v="1"/>
    <m/>
    <m/>
    <m/>
    <x v="2"/>
    <x v="5"/>
    <m/>
    <m/>
    <m/>
    <m/>
    <m/>
    <m/>
    <m/>
    <m/>
  </r>
  <r>
    <x v="88"/>
    <x v="83"/>
    <x v="0"/>
    <m/>
    <x v="1"/>
    <m/>
    <m/>
    <m/>
    <m/>
    <m/>
    <x v="1"/>
    <x v="0"/>
    <m/>
    <m/>
    <m/>
    <m/>
    <m/>
    <m/>
    <m/>
    <m/>
  </r>
  <r>
    <x v="89"/>
    <x v="84"/>
    <x v="48"/>
    <s v="Statements"/>
    <x v="0"/>
    <s v="M. Bardon, C. Nandelec"/>
    <n v="4"/>
    <m/>
    <m/>
    <m/>
    <x v="0"/>
    <x v="0"/>
    <m/>
    <m/>
    <m/>
    <m/>
    <m/>
    <m/>
    <m/>
    <m/>
  </r>
  <r>
    <x v="6"/>
    <x v="6"/>
    <x v="44"/>
    <s v="statement notified body"/>
    <x v="0"/>
    <s v="M. Bardon, C. Nandelec"/>
    <n v="1"/>
    <m/>
    <m/>
    <m/>
    <x v="0"/>
    <x v="0"/>
    <m/>
    <m/>
    <m/>
    <m/>
    <m/>
    <m/>
    <m/>
    <m/>
  </r>
  <r>
    <x v="6"/>
    <x v="6"/>
    <x v="44"/>
    <s v="statement intended purpose"/>
    <x v="0"/>
    <s v="M. Bardon, C. Nandelec"/>
    <n v="1"/>
    <m/>
    <m/>
    <m/>
    <x v="0"/>
    <x v="0"/>
    <m/>
    <m/>
    <m/>
    <m/>
    <m/>
    <m/>
    <m/>
    <m/>
  </r>
  <r>
    <x v="90"/>
    <x v="85"/>
    <x v="0"/>
    <s v="rapports GMED"/>
    <x v="0"/>
    <s v="M. Bardon, C. Nandelec"/>
    <m/>
    <m/>
    <m/>
    <m/>
    <x v="0"/>
    <x v="0"/>
    <m/>
    <m/>
    <m/>
    <m/>
    <m/>
    <m/>
    <m/>
    <m/>
  </r>
  <r>
    <x v="91"/>
    <x v="86"/>
    <x v="49"/>
    <m/>
    <x v="0"/>
    <s v="M. Bardon, C. Nandelec"/>
    <n v="1"/>
    <m/>
    <m/>
    <m/>
    <x v="0"/>
    <x v="0"/>
    <m/>
    <m/>
    <m/>
    <m/>
    <m/>
    <m/>
    <m/>
    <m/>
  </r>
  <r>
    <x v="92"/>
    <x v="87"/>
    <x v="50"/>
    <s v="Changes"/>
    <x v="0"/>
    <s v="M. Bardon, C. Nandelec"/>
    <n v="1"/>
    <m/>
    <m/>
    <m/>
    <x v="0"/>
    <x v="0"/>
    <m/>
    <m/>
    <m/>
    <m/>
    <m/>
    <m/>
    <m/>
    <m/>
  </r>
  <r>
    <x v="6"/>
    <x v="6"/>
    <x v="51"/>
    <s v="Changes summaries"/>
    <x v="0"/>
    <s v="M. Bardon, C. Nandelec"/>
    <n v="16"/>
    <m/>
    <m/>
    <m/>
    <x v="0"/>
    <x v="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7B623-40B7-4D01-9000-A1B4539FC4D1}" name="Tableau croisé dynamique2" cacheId="0" applyNumberFormats="0" applyBorderFormats="0" applyFontFormats="0" applyPatternFormats="0" applyAlignmentFormats="0" applyWidthHeightFormats="1" dataCaption="Valeurs" updatedVersion="8" minRefreshableVersion="3" useAutoFormatting="1" rowGrandTotals="0" colGrandTotals="0" itemPrintTitles="1" createdVersion="8" indent="0" compact="0" compactData="0" multipleFieldFilters="0">
  <location ref="A3:C18" firstHeaderRow="1" firstDataRow="1" firstDataCol="3"/>
  <pivotFields count="2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6">
        <item x="5"/>
        <item x="9"/>
        <item x="2"/>
        <item x="7"/>
        <item x="12"/>
        <item x="8"/>
        <item x="6"/>
        <item x="14"/>
        <item x="10"/>
        <item x="4"/>
        <item x="13"/>
        <item x="3"/>
        <item x="15"/>
        <item x="0"/>
        <item x="11"/>
        <item h="1" x="1"/>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m="1" x="4"/>
        <item x="2"/>
        <item x="0"/>
        <item m="1" x="3"/>
        <item x="1"/>
      </items>
    </pivotField>
    <pivotField axis="axisRow" compact="0" outline="0" showAll="0" defaultSubtotal="0">
      <items count="8">
        <item x="5"/>
        <item x="1"/>
        <item x="3"/>
        <item x="6"/>
        <item m="1" x="7"/>
        <item x="2"/>
        <item x="0"/>
        <item x="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4"/>
    <field x="10"/>
    <field x="11"/>
  </rowFields>
  <rowItems count="15">
    <i>
      <x/>
      <x v="1"/>
      <x v="7"/>
    </i>
    <i>
      <x v="1"/>
      <x v="2"/>
      <x v="6"/>
    </i>
    <i>
      <x v="2"/>
      <x v="1"/>
      <x v="1"/>
    </i>
    <i>
      <x v="3"/>
      <x v="1"/>
      <x/>
    </i>
    <i>
      <x v="4"/>
      <x v="1"/>
      <x v="5"/>
    </i>
    <i>
      <x v="5"/>
      <x v="2"/>
      <x v="6"/>
    </i>
    <i>
      <x v="6"/>
      <x v="2"/>
      <x v="6"/>
    </i>
    <i>
      <x v="7"/>
      <x v="2"/>
      <x v="3"/>
    </i>
    <i>
      <x v="8"/>
      <x v="2"/>
      <x v="6"/>
    </i>
    <i>
      <x v="9"/>
      <x v="1"/>
      <x v="2"/>
    </i>
    <i>
      <x v="10"/>
      <x v="2"/>
      <x v="6"/>
    </i>
    <i>
      <x v="11"/>
      <x v="1"/>
      <x v="5"/>
    </i>
    <i>
      <x v="12"/>
      <x v="1"/>
      <x/>
    </i>
    <i>
      <x v="13"/>
      <x v="2"/>
      <x v="6"/>
    </i>
    <i>
      <x v="14"/>
      <x v="2"/>
      <x v="6"/>
    </i>
  </rowItems>
  <colItems count="1">
    <i/>
  </colItems>
  <formats count="94">
    <format dxfId="246">
      <pivotArea field="4" type="button" dataOnly="0" labelOnly="1" outline="0" axis="axisRow" fieldPosition="0"/>
    </format>
    <format dxfId="245">
      <pivotArea field="10" type="button" dataOnly="0" labelOnly="1" outline="0" axis="axisRow" fieldPosition="1"/>
    </format>
    <format dxfId="244">
      <pivotArea field="11" type="button" dataOnly="0" labelOnly="1" outline="0" axis="axisRow" fieldPosition="2"/>
    </format>
    <format dxfId="243">
      <pivotArea field="4" type="button" dataOnly="0" labelOnly="1" outline="0" axis="axisRow" fieldPosition="0"/>
    </format>
    <format dxfId="242">
      <pivotArea field="10" type="button" dataOnly="0" labelOnly="1" outline="0" axis="axisRow" fieldPosition="1"/>
    </format>
    <format dxfId="241">
      <pivotArea field="11" type="button" dataOnly="0" labelOnly="1" outline="0" axis="axisRow" fieldPosition="2"/>
    </format>
    <format dxfId="240">
      <pivotArea dataOnly="0" labelOnly="1" outline="0" fieldPosition="0">
        <references count="1">
          <reference field="4" count="0"/>
        </references>
      </pivotArea>
    </format>
    <format dxfId="239">
      <pivotArea dataOnly="0" labelOnly="1" outline="0" fieldPosition="0">
        <references count="2">
          <reference field="4" count="1" selected="0">
            <x v="0"/>
          </reference>
          <reference field="10" count="1">
            <x v="1"/>
          </reference>
        </references>
      </pivotArea>
    </format>
    <format dxfId="238">
      <pivotArea dataOnly="0" labelOnly="1" outline="0" fieldPosition="0">
        <references count="2">
          <reference field="4" count="1" selected="0">
            <x v="1"/>
          </reference>
          <reference field="10" count="1">
            <x v="2"/>
          </reference>
        </references>
      </pivotArea>
    </format>
    <format dxfId="237">
      <pivotArea dataOnly="0" labelOnly="1" outline="0" fieldPosition="0">
        <references count="2">
          <reference field="4" count="1" selected="0">
            <x v="2"/>
          </reference>
          <reference field="10" count="1">
            <x v="1"/>
          </reference>
        </references>
      </pivotArea>
    </format>
    <format dxfId="236">
      <pivotArea dataOnly="0" labelOnly="1" outline="0" fieldPosition="0">
        <references count="2">
          <reference field="4" count="1" selected="0">
            <x v="5"/>
          </reference>
          <reference field="10" count="1">
            <x v="2"/>
          </reference>
        </references>
      </pivotArea>
    </format>
    <format dxfId="235">
      <pivotArea dataOnly="0" labelOnly="1" outline="0" fieldPosition="0">
        <references count="2">
          <reference field="4" count="1" selected="0">
            <x v="9"/>
          </reference>
          <reference field="10" count="1">
            <x v="3"/>
          </reference>
        </references>
      </pivotArea>
    </format>
    <format dxfId="234">
      <pivotArea dataOnly="0" labelOnly="1" outline="0" fieldPosition="0">
        <references count="2">
          <reference field="4" count="1" selected="0">
            <x v="10"/>
          </reference>
          <reference field="10" count="1">
            <x v="0"/>
          </reference>
        </references>
      </pivotArea>
    </format>
    <format dxfId="233">
      <pivotArea dataOnly="0" labelOnly="1" outline="0" fieldPosition="0">
        <references count="2">
          <reference field="4" count="1" selected="0">
            <x v="11"/>
          </reference>
          <reference field="10" count="1">
            <x v="1"/>
          </reference>
        </references>
      </pivotArea>
    </format>
    <format dxfId="232">
      <pivotArea dataOnly="0" labelOnly="1" outline="0" fieldPosition="0">
        <references count="2">
          <reference field="4" count="1" selected="0">
            <x v="13"/>
          </reference>
          <reference field="10" count="1">
            <x v="2"/>
          </reference>
        </references>
      </pivotArea>
    </format>
    <format dxfId="231">
      <pivotArea dataOnly="0" labelOnly="1" outline="0" fieldPosition="0">
        <references count="2">
          <reference field="4" count="1" selected="0">
            <x v="15"/>
          </reference>
          <reference field="10" count="1">
            <x v="4"/>
          </reference>
        </references>
      </pivotArea>
    </format>
    <format dxfId="230">
      <pivotArea dataOnly="0" labelOnly="1" outline="0" fieldPosition="0">
        <references count="3">
          <reference field="4" count="1" selected="0">
            <x v="0"/>
          </reference>
          <reference field="10" count="1" selected="0">
            <x v="1"/>
          </reference>
          <reference field="11" count="1">
            <x v="6"/>
          </reference>
        </references>
      </pivotArea>
    </format>
    <format dxfId="229">
      <pivotArea dataOnly="0" labelOnly="1" outline="0" fieldPosition="0">
        <references count="3">
          <reference field="4" count="1" selected="0">
            <x v="1"/>
          </reference>
          <reference field="10" count="1" selected="0">
            <x v="2"/>
          </reference>
          <reference field="11" count="1">
            <x v="6"/>
          </reference>
        </references>
      </pivotArea>
    </format>
    <format dxfId="228">
      <pivotArea dataOnly="0" labelOnly="1" outline="0" fieldPosition="0">
        <references count="3">
          <reference field="4" count="1" selected="0">
            <x v="2"/>
          </reference>
          <reference field="10" count="1" selected="0">
            <x v="1"/>
          </reference>
          <reference field="11" count="1">
            <x v="1"/>
          </reference>
        </references>
      </pivotArea>
    </format>
    <format dxfId="227">
      <pivotArea dataOnly="0" labelOnly="1" outline="0" fieldPosition="0">
        <references count="3">
          <reference field="4" count="1" selected="0">
            <x v="3"/>
          </reference>
          <reference field="10" count="1" selected="0">
            <x v="1"/>
          </reference>
          <reference field="11" count="1">
            <x v="0"/>
          </reference>
        </references>
      </pivotArea>
    </format>
    <format dxfId="226">
      <pivotArea dataOnly="0" labelOnly="1" outline="0" fieldPosition="0">
        <references count="3">
          <reference field="4" count="1" selected="0">
            <x v="4"/>
          </reference>
          <reference field="10" count="1" selected="0">
            <x v="1"/>
          </reference>
          <reference field="11" count="1">
            <x v="5"/>
          </reference>
        </references>
      </pivotArea>
    </format>
    <format dxfId="225">
      <pivotArea dataOnly="0" labelOnly="1" outline="0" fieldPosition="0">
        <references count="3">
          <reference field="4" count="1" selected="0">
            <x v="5"/>
          </reference>
          <reference field="10" count="1" selected="0">
            <x v="2"/>
          </reference>
          <reference field="11" count="1">
            <x v="6"/>
          </reference>
        </references>
      </pivotArea>
    </format>
    <format dxfId="224">
      <pivotArea dataOnly="0" labelOnly="1" outline="0" fieldPosition="0">
        <references count="3">
          <reference field="4" count="1" selected="0">
            <x v="6"/>
          </reference>
          <reference field="10" count="1" selected="0">
            <x v="2"/>
          </reference>
          <reference field="11" count="1">
            <x v="6"/>
          </reference>
        </references>
      </pivotArea>
    </format>
    <format dxfId="223">
      <pivotArea dataOnly="0" labelOnly="1" outline="0" fieldPosition="0">
        <references count="3">
          <reference field="4" count="1" selected="0">
            <x v="7"/>
          </reference>
          <reference field="10" count="1" selected="0">
            <x v="2"/>
          </reference>
          <reference field="11" count="1">
            <x v="3"/>
          </reference>
        </references>
      </pivotArea>
    </format>
    <format dxfId="222">
      <pivotArea dataOnly="0" labelOnly="1" outline="0" fieldPosition="0">
        <references count="3">
          <reference field="4" count="1" selected="0">
            <x v="8"/>
          </reference>
          <reference field="10" count="1" selected="0">
            <x v="2"/>
          </reference>
          <reference field="11" count="1">
            <x v="6"/>
          </reference>
        </references>
      </pivotArea>
    </format>
    <format dxfId="221">
      <pivotArea dataOnly="0" labelOnly="1" outline="0" fieldPosition="0">
        <references count="3">
          <reference field="4" count="1" selected="0">
            <x v="9"/>
          </reference>
          <reference field="10" count="1" selected="0">
            <x v="3"/>
          </reference>
          <reference field="11" count="1">
            <x v="2"/>
          </reference>
        </references>
      </pivotArea>
    </format>
    <format dxfId="220">
      <pivotArea dataOnly="0" labelOnly="1" outline="0" fieldPosition="0">
        <references count="3">
          <reference field="4" count="1" selected="0">
            <x v="10"/>
          </reference>
          <reference field="10" count="1" selected="0">
            <x v="0"/>
          </reference>
          <reference field="11" count="1">
            <x v="4"/>
          </reference>
        </references>
      </pivotArea>
    </format>
    <format dxfId="219">
      <pivotArea dataOnly="0" labelOnly="1" outline="0" fieldPosition="0">
        <references count="3">
          <reference field="4" count="1" selected="0">
            <x v="11"/>
          </reference>
          <reference field="10" count="1" selected="0">
            <x v="1"/>
          </reference>
          <reference field="11" count="1">
            <x v="5"/>
          </reference>
        </references>
      </pivotArea>
    </format>
    <format dxfId="218">
      <pivotArea dataOnly="0" labelOnly="1" outline="0" fieldPosition="0">
        <references count="3">
          <reference field="4" count="1" selected="0">
            <x v="12"/>
          </reference>
          <reference field="10" count="1" selected="0">
            <x v="1"/>
          </reference>
          <reference field="11" count="1">
            <x v="0"/>
          </reference>
        </references>
      </pivotArea>
    </format>
    <format dxfId="217">
      <pivotArea dataOnly="0" labelOnly="1" outline="0" fieldPosition="0">
        <references count="3">
          <reference field="4" count="1" selected="0">
            <x v="13"/>
          </reference>
          <reference field="10" count="1" selected="0">
            <x v="2"/>
          </reference>
          <reference field="11" count="1">
            <x v="6"/>
          </reference>
        </references>
      </pivotArea>
    </format>
    <format dxfId="216">
      <pivotArea dataOnly="0" labelOnly="1" outline="0" fieldPosition="0">
        <references count="3">
          <reference field="4" count="1" selected="0">
            <x v="14"/>
          </reference>
          <reference field="10" count="1" selected="0">
            <x v="2"/>
          </reference>
          <reference field="11" count="1">
            <x v="6"/>
          </reference>
        </references>
      </pivotArea>
    </format>
    <format dxfId="215">
      <pivotArea dataOnly="0" labelOnly="1" outline="0" fieldPosition="0">
        <references count="3">
          <reference field="4" count="1" selected="0">
            <x v="15"/>
          </reference>
          <reference field="10" count="1" selected="0">
            <x v="4"/>
          </reference>
          <reference field="11" count="1">
            <x v="6"/>
          </reference>
        </references>
      </pivotArea>
    </format>
    <format dxfId="214">
      <pivotArea dataOnly="0" labelOnly="1" outline="0" fieldPosition="0">
        <references count="1">
          <reference field="4" count="0"/>
        </references>
      </pivotArea>
    </format>
    <format dxfId="213">
      <pivotArea dataOnly="0" labelOnly="1" outline="0" fieldPosition="0">
        <references count="2">
          <reference field="4" count="1" selected="0">
            <x v="0"/>
          </reference>
          <reference field="10" count="1">
            <x v="1"/>
          </reference>
        </references>
      </pivotArea>
    </format>
    <format dxfId="212">
      <pivotArea dataOnly="0" labelOnly="1" outline="0" fieldPosition="0">
        <references count="2">
          <reference field="4" count="1" selected="0">
            <x v="1"/>
          </reference>
          <reference field="10" count="1">
            <x v="2"/>
          </reference>
        </references>
      </pivotArea>
    </format>
    <format dxfId="211">
      <pivotArea dataOnly="0" labelOnly="1" outline="0" fieldPosition="0">
        <references count="2">
          <reference field="4" count="1" selected="0">
            <x v="2"/>
          </reference>
          <reference field="10" count="1">
            <x v="1"/>
          </reference>
        </references>
      </pivotArea>
    </format>
    <format dxfId="210">
      <pivotArea dataOnly="0" labelOnly="1" outline="0" fieldPosition="0">
        <references count="2">
          <reference field="4" count="1" selected="0">
            <x v="5"/>
          </reference>
          <reference field="10" count="1">
            <x v="2"/>
          </reference>
        </references>
      </pivotArea>
    </format>
    <format dxfId="209">
      <pivotArea dataOnly="0" labelOnly="1" outline="0" fieldPosition="0">
        <references count="2">
          <reference field="4" count="1" selected="0">
            <x v="9"/>
          </reference>
          <reference field="10" count="1">
            <x v="3"/>
          </reference>
        </references>
      </pivotArea>
    </format>
    <format dxfId="208">
      <pivotArea dataOnly="0" labelOnly="1" outline="0" fieldPosition="0">
        <references count="2">
          <reference field="4" count="1" selected="0">
            <x v="10"/>
          </reference>
          <reference field="10" count="1">
            <x v="0"/>
          </reference>
        </references>
      </pivotArea>
    </format>
    <format dxfId="207">
      <pivotArea dataOnly="0" labelOnly="1" outline="0" fieldPosition="0">
        <references count="2">
          <reference field="4" count="1" selected="0">
            <x v="11"/>
          </reference>
          <reference field="10" count="1">
            <x v="1"/>
          </reference>
        </references>
      </pivotArea>
    </format>
    <format dxfId="206">
      <pivotArea dataOnly="0" labelOnly="1" outline="0" fieldPosition="0">
        <references count="2">
          <reference field="4" count="1" selected="0">
            <x v="13"/>
          </reference>
          <reference field="10" count="1">
            <x v="2"/>
          </reference>
        </references>
      </pivotArea>
    </format>
    <format dxfId="205">
      <pivotArea dataOnly="0" labelOnly="1" outline="0" fieldPosition="0">
        <references count="2">
          <reference field="4" count="1" selected="0">
            <x v="15"/>
          </reference>
          <reference field="10" count="1">
            <x v="4"/>
          </reference>
        </references>
      </pivotArea>
    </format>
    <format dxfId="204">
      <pivotArea dataOnly="0" labelOnly="1" outline="0" fieldPosition="0">
        <references count="3">
          <reference field="4" count="1" selected="0">
            <x v="0"/>
          </reference>
          <reference field="10" count="1" selected="0">
            <x v="1"/>
          </reference>
          <reference field="11" count="1">
            <x v="6"/>
          </reference>
        </references>
      </pivotArea>
    </format>
    <format dxfId="203">
      <pivotArea dataOnly="0" labelOnly="1" outline="0" fieldPosition="0">
        <references count="3">
          <reference field="4" count="1" selected="0">
            <x v="1"/>
          </reference>
          <reference field="10" count="1" selected="0">
            <x v="2"/>
          </reference>
          <reference field="11" count="1">
            <x v="6"/>
          </reference>
        </references>
      </pivotArea>
    </format>
    <format dxfId="202">
      <pivotArea dataOnly="0" labelOnly="1" outline="0" fieldPosition="0">
        <references count="3">
          <reference field="4" count="1" selected="0">
            <x v="2"/>
          </reference>
          <reference field="10" count="1" selected="0">
            <x v="1"/>
          </reference>
          <reference field="11" count="1">
            <x v="1"/>
          </reference>
        </references>
      </pivotArea>
    </format>
    <format dxfId="201">
      <pivotArea dataOnly="0" labelOnly="1" outline="0" fieldPosition="0">
        <references count="3">
          <reference field="4" count="1" selected="0">
            <x v="3"/>
          </reference>
          <reference field="10" count="1" selected="0">
            <x v="1"/>
          </reference>
          <reference field="11" count="1">
            <x v="0"/>
          </reference>
        </references>
      </pivotArea>
    </format>
    <format dxfId="200">
      <pivotArea dataOnly="0" labelOnly="1" outline="0" fieldPosition="0">
        <references count="3">
          <reference field="4" count="1" selected="0">
            <x v="4"/>
          </reference>
          <reference field="10" count="1" selected="0">
            <x v="1"/>
          </reference>
          <reference field="11" count="1">
            <x v="5"/>
          </reference>
        </references>
      </pivotArea>
    </format>
    <format dxfId="199">
      <pivotArea dataOnly="0" labelOnly="1" outline="0" fieldPosition="0">
        <references count="3">
          <reference field="4" count="1" selected="0">
            <x v="5"/>
          </reference>
          <reference field="10" count="1" selected="0">
            <x v="2"/>
          </reference>
          <reference field="11" count="1">
            <x v="6"/>
          </reference>
        </references>
      </pivotArea>
    </format>
    <format dxfId="198">
      <pivotArea dataOnly="0" labelOnly="1" outline="0" fieldPosition="0">
        <references count="3">
          <reference field="4" count="1" selected="0">
            <x v="6"/>
          </reference>
          <reference field="10" count="1" selected="0">
            <x v="2"/>
          </reference>
          <reference field="11" count="1">
            <x v="6"/>
          </reference>
        </references>
      </pivotArea>
    </format>
    <format dxfId="197">
      <pivotArea dataOnly="0" labelOnly="1" outline="0" fieldPosition="0">
        <references count="3">
          <reference field="4" count="1" selected="0">
            <x v="7"/>
          </reference>
          <reference field="10" count="1" selected="0">
            <x v="2"/>
          </reference>
          <reference field="11" count="1">
            <x v="3"/>
          </reference>
        </references>
      </pivotArea>
    </format>
    <format dxfId="196">
      <pivotArea dataOnly="0" labelOnly="1" outline="0" fieldPosition="0">
        <references count="3">
          <reference field="4" count="1" selected="0">
            <x v="8"/>
          </reference>
          <reference field="10" count="1" selected="0">
            <x v="2"/>
          </reference>
          <reference field="11" count="1">
            <x v="6"/>
          </reference>
        </references>
      </pivotArea>
    </format>
    <format dxfId="195">
      <pivotArea dataOnly="0" labelOnly="1" outline="0" fieldPosition="0">
        <references count="3">
          <reference field="4" count="1" selected="0">
            <x v="9"/>
          </reference>
          <reference field="10" count="1" selected="0">
            <x v="3"/>
          </reference>
          <reference field="11" count="1">
            <x v="2"/>
          </reference>
        </references>
      </pivotArea>
    </format>
    <format dxfId="194">
      <pivotArea dataOnly="0" labelOnly="1" outline="0" fieldPosition="0">
        <references count="3">
          <reference field="4" count="1" selected="0">
            <x v="10"/>
          </reference>
          <reference field="10" count="1" selected="0">
            <x v="0"/>
          </reference>
          <reference field="11" count="1">
            <x v="4"/>
          </reference>
        </references>
      </pivotArea>
    </format>
    <format dxfId="193">
      <pivotArea dataOnly="0" labelOnly="1" outline="0" fieldPosition="0">
        <references count="3">
          <reference field="4" count="1" selected="0">
            <x v="11"/>
          </reference>
          <reference field="10" count="1" selected="0">
            <x v="1"/>
          </reference>
          <reference field="11" count="1">
            <x v="5"/>
          </reference>
        </references>
      </pivotArea>
    </format>
    <format dxfId="192">
      <pivotArea dataOnly="0" labelOnly="1" outline="0" fieldPosition="0">
        <references count="3">
          <reference field="4" count="1" selected="0">
            <x v="12"/>
          </reference>
          <reference field="10" count="1" selected="0">
            <x v="1"/>
          </reference>
          <reference field="11" count="1">
            <x v="0"/>
          </reference>
        </references>
      </pivotArea>
    </format>
    <format dxfId="191">
      <pivotArea dataOnly="0" labelOnly="1" outline="0" fieldPosition="0">
        <references count="3">
          <reference field="4" count="1" selected="0">
            <x v="13"/>
          </reference>
          <reference field="10" count="1" selected="0">
            <x v="2"/>
          </reference>
          <reference field="11" count="1">
            <x v="6"/>
          </reference>
        </references>
      </pivotArea>
    </format>
    <format dxfId="190">
      <pivotArea dataOnly="0" labelOnly="1" outline="0" fieldPosition="0">
        <references count="3">
          <reference field="4" count="1" selected="0">
            <x v="14"/>
          </reference>
          <reference field="10" count="1" selected="0">
            <x v="2"/>
          </reference>
          <reference field="11" count="1">
            <x v="6"/>
          </reference>
        </references>
      </pivotArea>
    </format>
    <format dxfId="189">
      <pivotArea dataOnly="0" labelOnly="1" outline="0" fieldPosition="0">
        <references count="3">
          <reference field="4" count="1" selected="0">
            <x v="15"/>
          </reference>
          <reference field="10" count="1" selected="0">
            <x v="4"/>
          </reference>
          <reference field="11" count="1">
            <x v="6"/>
          </reference>
        </references>
      </pivotArea>
    </format>
    <format dxfId="188">
      <pivotArea field="10" type="button" dataOnly="0" labelOnly="1" outline="0" axis="axisRow" fieldPosition="1"/>
    </format>
    <format dxfId="187">
      <pivotArea dataOnly="0" labelOnly="1" outline="0" fieldPosition="0">
        <references count="1">
          <reference field="4" count="0"/>
        </references>
      </pivotArea>
    </format>
    <format dxfId="186">
      <pivotArea dataOnly="0" labelOnly="1" outline="0" fieldPosition="0">
        <references count="2">
          <reference field="4" count="1" selected="0">
            <x v="10"/>
          </reference>
          <reference field="10" count="1">
            <x v="0"/>
          </reference>
        </references>
      </pivotArea>
    </format>
    <format dxfId="185">
      <pivotArea dataOnly="0" labelOnly="1" outline="0" fieldPosition="0">
        <references count="3">
          <reference field="4" count="1" selected="0">
            <x v="0"/>
          </reference>
          <reference field="10" count="1" selected="0">
            <x v="1"/>
          </reference>
          <reference field="11" count="1">
            <x v="6"/>
          </reference>
        </references>
      </pivotArea>
    </format>
    <format dxfId="184">
      <pivotArea dataOnly="0" labelOnly="1" outline="0" fieldPosition="0">
        <references count="3">
          <reference field="4" count="1" selected="0">
            <x v="10"/>
          </reference>
          <reference field="10" count="1" selected="0">
            <x v="0"/>
          </reference>
          <reference field="11" count="1">
            <x v="4"/>
          </reference>
        </references>
      </pivotArea>
    </format>
    <format dxfId="183">
      <pivotArea dataOnly="0" labelOnly="1" outline="0" fieldPosition="0">
        <references count="2">
          <reference field="4" count="1" selected="0">
            <x v="0"/>
          </reference>
          <reference field="10" count="1">
            <x v="1"/>
          </reference>
        </references>
      </pivotArea>
    </format>
    <format dxfId="182">
      <pivotArea dataOnly="0" labelOnly="1" outline="0" fieldPosition="0">
        <references count="2">
          <reference field="4" count="1" selected="0">
            <x v="1"/>
          </reference>
          <reference field="10" count="1">
            <x v="2"/>
          </reference>
        </references>
      </pivotArea>
    </format>
    <format dxfId="181">
      <pivotArea dataOnly="0" labelOnly="1" outline="0" fieldPosition="0">
        <references count="2">
          <reference field="4" count="1" selected="0">
            <x v="2"/>
          </reference>
          <reference field="10" count="1">
            <x v="1"/>
          </reference>
        </references>
      </pivotArea>
    </format>
    <format dxfId="180">
      <pivotArea dataOnly="0" labelOnly="1" outline="0" fieldPosition="0">
        <references count="2">
          <reference field="4" count="1" selected="0">
            <x v="5"/>
          </reference>
          <reference field="10" count="1">
            <x v="2"/>
          </reference>
        </references>
      </pivotArea>
    </format>
    <format dxfId="179">
      <pivotArea dataOnly="0" labelOnly="1" outline="0" fieldPosition="0">
        <references count="2">
          <reference field="4" count="1" selected="0">
            <x v="9"/>
          </reference>
          <reference field="10" count="1">
            <x v="3"/>
          </reference>
        </references>
      </pivotArea>
    </format>
    <format dxfId="178">
      <pivotArea dataOnly="0" labelOnly="1" outline="0" fieldPosition="0">
        <references count="2">
          <reference field="4" count="1" selected="0">
            <x v="10"/>
          </reference>
          <reference field="10" count="1">
            <x v="2"/>
          </reference>
        </references>
      </pivotArea>
    </format>
    <format dxfId="177">
      <pivotArea dataOnly="0" labelOnly="1" outline="0" fieldPosition="0">
        <references count="2">
          <reference field="4" count="1" selected="0">
            <x v="11"/>
          </reference>
          <reference field="10" count="1">
            <x v="1"/>
          </reference>
        </references>
      </pivotArea>
    </format>
    <format dxfId="176">
      <pivotArea dataOnly="0" labelOnly="1" outline="0" fieldPosition="0">
        <references count="2">
          <reference field="4" count="1" selected="0">
            <x v="13"/>
          </reference>
          <reference field="10" count="1">
            <x v="2"/>
          </reference>
        </references>
      </pivotArea>
    </format>
    <format dxfId="175">
      <pivotArea dataOnly="0" labelOnly="1" outline="0" fieldPosition="0">
        <references count="3">
          <reference field="4" count="1" selected="0">
            <x v="0"/>
          </reference>
          <reference field="10" count="1" selected="0">
            <x v="1"/>
          </reference>
          <reference field="11" count="1">
            <x v="7"/>
          </reference>
        </references>
      </pivotArea>
    </format>
    <format dxfId="174">
      <pivotArea dataOnly="0" labelOnly="1" outline="0" fieldPosition="0">
        <references count="3">
          <reference field="4" count="1" selected="0">
            <x v="1"/>
          </reference>
          <reference field="10" count="1" selected="0">
            <x v="2"/>
          </reference>
          <reference field="11" count="1">
            <x v="6"/>
          </reference>
        </references>
      </pivotArea>
    </format>
    <format dxfId="173">
      <pivotArea dataOnly="0" labelOnly="1" outline="0" fieldPosition="0">
        <references count="3">
          <reference field="4" count="1" selected="0">
            <x v="2"/>
          </reference>
          <reference field="10" count="1" selected="0">
            <x v="1"/>
          </reference>
          <reference field="11" count="1">
            <x v="1"/>
          </reference>
        </references>
      </pivotArea>
    </format>
    <format dxfId="172">
      <pivotArea dataOnly="0" labelOnly="1" outline="0" fieldPosition="0">
        <references count="3">
          <reference field="4" count="1" selected="0">
            <x v="3"/>
          </reference>
          <reference field="10" count="1" selected="0">
            <x v="1"/>
          </reference>
          <reference field="11" count="1">
            <x v="0"/>
          </reference>
        </references>
      </pivotArea>
    </format>
    <format dxfId="171">
      <pivotArea dataOnly="0" labelOnly="1" outline="0" fieldPosition="0">
        <references count="3">
          <reference field="4" count="1" selected="0">
            <x v="4"/>
          </reference>
          <reference field="10" count="1" selected="0">
            <x v="1"/>
          </reference>
          <reference field="11" count="1">
            <x v="5"/>
          </reference>
        </references>
      </pivotArea>
    </format>
    <format dxfId="170">
      <pivotArea dataOnly="0" labelOnly="1" outline="0" fieldPosition="0">
        <references count="3">
          <reference field="4" count="1" selected="0">
            <x v="5"/>
          </reference>
          <reference field="10" count="1" selected="0">
            <x v="2"/>
          </reference>
          <reference field="11" count="1">
            <x v="6"/>
          </reference>
        </references>
      </pivotArea>
    </format>
    <format dxfId="169">
      <pivotArea dataOnly="0" labelOnly="1" outline="0" fieldPosition="0">
        <references count="3">
          <reference field="4" count="1" selected="0">
            <x v="6"/>
          </reference>
          <reference field="10" count="1" selected="0">
            <x v="2"/>
          </reference>
          <reference field="11" count="1">
            <x v="6"/>
          </reference>
        </references>
      </pivotArea>
    </format>
    <format dxfId="168">
      <pivotArea dataOnly="0" labelOnly="1" outline="0" fieldPosition="0">
        <references count="3">
          <reference field="4" count="1" selected="0">
            <x v="7"/>
          </reference>
          <reference field="10" count="1" selected="0">
            <x v="2"/>
          </reference>
          <reference field="11" count="1">
            <x v="3"/>
          </reference>
        </references>
      </pivotArea>
    </format>
    <format dxfId="167">
      <pivotArea dataOnly="0" labelOnly="1" outline="0" fieldPosition="0">
        <references count="3">
          <reference field="4" count="1" selected="0">
            <x v="8"/>
          </reference>
          <reference field="10" count="1" selected="0">
            <x v="2"/>
          </reference>
          <reference field="11" count="1">
            <x v="6"/>
          </reference>
        </references>
      </pivotArea>
    </format>
    <format dxfId="166">
      <pivotArea dataOnly="0" labelOnly="1" outline="0" fieldPosition="0">
        <references count="3">
          <reference field="4" count="1" selected="0">
            <x v="9"/>
          </reference>
          <reference field="10" count="1" selected="0">
            <x v="3"/>
          </reference>
          <reference field="11" count="1">
            <x v="2"/>
          </reference>
        </references>
      </pivotArea>
    </format>
    <format dxfId="165">
      <pivotArea dataOnly="0" labelOnly="1" outline="0" fieldPosition="0">
        <references count="3">
          <reference field="4" count="1" selected="0">
            <x v="10"/>
          </reference>
          <reference field="10" count="1" selected="0">
            <x v="2"/>
          </reference>
          <reference field="11" count="1">
            <x v="6"/>
          </reference>
        </references>
      </pivotArea>
    </format>
    <format dxfId="164">
      <pivotArea dataOnly="0" labelOnly="1" outline="0" fieldPosition="0">
        <references count="3">
          <reference field="4" count="1" selected="0">
            <x v="11"/>
          </reference>
          <reference field="10" count="1" selected="0">
            <x v="1"/>
          </reference>
          <reference field="11" count="1">
            <x v="5"/>
          </reference>
        </references>
      </pivotArea>
    </format>
    <format dxfId="163">
      <pivotArea dataOnly="0" labelOnly="1" outline="0" fieldPosition="0">
        <references count="3">
          <reference field="4" count="1" selected="0">
            <x v="12"/>
          </reference>
          <reference field="10" count="1" selected="0">
            <x v="1"/>
          </reference>
          <reference field="11" count="1">
            <x v="0"/>
          </reference>
        </references>
      </pivotArea>
    </format>
    <format dxfId="162">
      <pivotArea dataOnly="0" labelOnly="1" outline="0" fieldPosition="0">
        <references count="3">
          <reference field="4" count="1" selected="0">
            <x v="13"/>
          </reference>
          <reference field="10" count="1" selected="0">
            <x v="2"/>
          </reference>
          <reference field="11" count="1">
            <x v="6"/>
          </reference>
        </references>
      </pivotArea>
    </format>
    <format dxfId="161">
      <pivotArea dataOnly="0" labelOnly="1" outline="0" fieldPosition="0">
        <references count="3">
          <reference field="4" count="1" selected="0">
            <x v="14"/>
          </reference>
          <reference field="10" count="1" selected="0">
            <x v="2"/>
          </reference>
          <reference field="11" count="1">
            <x v="6"/>
          </reference>
        </references>
      </pivotArea>
    </format>
    <format dxfId="160">
      <pivotArea dataOnly="0" labelOnly="1" outline="0" fieldPosition="0">
        <references count="2">
          <reference field="4" count="1" selected="0">
            <x v="0"/>
          </reference>
          <reference field="10" count="1">
            <x v="1"/>
          </reference>
        </references>
      </pivotArea>
    </format>
    <format dxfId="159">
      <pivotArea dataOnly="0" labelOnly="1" outline="0" fieldPosition="0">
        <references count="2">
          <reference field="4" count="1" selected="0">
            <x v="1"/>
          </reference>
          <reference field="10" count="1">
            <x v="2"/>
          </reference>
        </references>
      </pivotArea>
    </format>
    <format dxfId="158">
      <pivotArea dataOnly="0" labelOnly="1" outline="0" fieldPosition="0">
        <references count="2">
          <reference field="4" count="1" selected="0">
            <x v="2"/>
          </reference>
          <reference field="10" count="1">
            <x v="1"/>
          </reference>
        </references>
      </pivotArea>
    </format>
    <format dxfId="157">
      <pivotArea dataOnly="0" labelOnly="1" outline="0" fieldPosition="0">
        <references count="2">
          <reference field="4" count="1" selected="0">
            <x v="5"/>
          </reference>
          <reference field="10" count="1">
            <x v="2"/>
          </reference>
        </references>
      </pivotArea>
    </format>
    <format dxfId="156">
      <pivotArea dataOnly="0" labelOnly="1" outline="0" fieldPosition="0">
        <references count="2">
          <reference field="4" count="1" selected="0">
            <x v="9"/>
          </reference>
          <reference field="10" count="1">
            <x v="1"/>
          </reference>
        </references>
      </pivotArea>
    </format>
    <format dxfId="155">
      <pivotArea dataOnly="0" labelOnly="1" outline="0" fieldPosition="0">
        <references count="2">
          <reference field="4" count="1" selected="0">
            <x v="10"/>
          </reference>
          <reference field="10" count="1">
            <x v="2"/>
          </reference>
        </references>
      </pivotArea>
    </format>
    <format dxfId="154">
      <pivotArea dataOnly="0" labelOnly="1" outline="0" fieldPosition="0">
        <references count="2">
          <reference field="4" count="1" selected="0">
            <x v="11"/>
          </reference>
          <reference field="10" count="1">
            <x v="1"/>
          </reference>
        </references>
      </pivotArea>
    </format>
    <format dxfId="153">
      <pivotArea dataOnly="0" labelOnly="1" outline="0" fieldPosition="0">
        <references count="2">
          <reference field="4" count="1" selected="0">
            <x v="13"/>
          </reference>
          <reference field="10" count="1">
            <x v="2"/>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B2B068-12AE-4272-A150-5808EC928D8E}" name="Tableau croisé dynamique1" cacheId="0" applyNumberFormats="0" applyBorderFormats="0" applyFontFormats="0" applyPatternFormats="0" applyAlignmentFormats="0" applyWidthHeightFormats="1" dataCaption="Valeurs" updatedVersion="8" minRefreshableVersion="3" useAutoFormatting="1" rowGrandTotals="0" colGrandTotals="0" itemPrintTitles="1" createdVersion="8" indent="0" compact="0" compactData="0" multipleFieldFilters="0">
  <location ref="A4:D118" firstHeaderRow="1" firstDataRow="1" firstDataCol="4" rowPageCount="2" colPageCount="1"/>
  <pivotFields count="20">
    <pivotField axis="axisRow" compact="0" outline="0" showAll="0" defaultSubtotal="0">
      <items count="93">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80"/>
        <item x="72"/>
        <item x="73"/>
        <item x="74"/>
        <item x="75"/>
        <item x="76"/>
        <item x="77"/>
        <item x="78"/>
        <item x="79"/>
        <item x="81"/>
        <item x="82"/>
        <item x="83"/>
        <item x="84"/>
        <item x="85"/>
        <item x="86"/>
        <item x="87"/>
        <item x="88"/>
        <item x="89"/>
        <item x="90"/>
        <item x="91"/>
        <item x="92"/>
        <item x="6"/>
      </items>
    </pivotField>
    <pivotField axis="axisRow" compact="0" outline="0" showAll="0" defaultSubtotal="0">
      <items count="88">
        <item x="4"/>
        <item x="45"/>
        <item x="83"/>
        <item x="32"/>
        <item x="66"/>
        <item x="25"/>
        <item x="43"/>
        <item x="77"/>
        <item x="80"/>
        <item x="78"/>
        <item x="41"/>
        <item x="74"/>
        <item x="46"/>
        <item x="51"/>
        <item x="56"/>
        <item x="81"/>
        <item x="67"/>
        <item x="84"/>
        <item x="79"/>
        <item x="7"/>
        <item x="21"/>
        <item x="23"/>
        <item x="35"/>
        <item x="22"/>
        <item x="34"/>
        <item x="68"/>
        <item x="1"/>
        <item x="0"/>
        <item x="5"/>
        <item x="47"/>
        <item x="27"/>
        <item x="26"/>
        <item x="44"/>
        <item x="50"/>
        <item x="2"/>
        <item x="9"/>
        <item x="18"/>
        <item x="16"/>
        <item x="17"/>
        <item x="28"/>
        <item x="57"/>
        <item x="14"/>
        <item x="24"/>
        <item x="64"/>
        <item x="8"/>
        <item x="76"/>
        <item x="87"/>
        <item x="11"/>
        <item x="60"/>
        <item x="49"/>
        <item x="30"/>
        <item x="54"/>
        <item x="82"/>
        <item x="53"/>
        <item x="10"/>
        <item x="71"/>
        <item x="33"/>
        <item x="19"/>
        <item x="85"/>
        <item x="75"/>
        <item x="52"/>
        <item x="36"/>
        <item x="72"/>
        <item x="29"/>
        <item x="86"/>
        <item x="63"/>
        <item x="20"/>
        <item x="13"/>
        <item x="15"/>
        <item x="65"/>
        <item x="69"/>
        <item x="48"/>
        <item x="62"/>
        <item x="31"/>
        <item x="55"/>
        <item x="12"/>
        <item x="39"/>
        <item x="38"/>
        <item x="40"/>
        <item x="42"/>
        <item x="37"/>
        <item x="3"/>
        <item x="73"/>
        <item x="59"/>
        <item x="58"/>
        <item x="61"/>
        <item x="70"/>
        <item x="6"/>
      </items>
    </pivotField>
    <pivotField axis="axisRow" compact="0" outline="0" showAll="0" defaultSubtotal="0">
      <items count="52">
        <item x="35"/>
        <item x="38"/>
        <item x="45"/>
        <item x="1"/>
        <item x="44"/>
        <item x="48"/>
        <item x="14"/>
        <item x="5"/>
        <item x="8"/>
        <item x="9"/>
        <item x="10"/>
        <item x="11"/>
        <item x="12"/>
        <item x="13"/>
        <item x="2"/>
        <item x="3"/>
        <item x="4"/>
        <item x="50"/>
        <item x="51"/>
        <item x="16"/>
        <item x="15"/>
        <item x="20"/>
        <item x="17"/>
        <item x="19"/>
        <item x="18"/>
        <item x="32"/>
        <item x="30"/>
        <item x="39"/>
        <item x="23"/>
        <item x="21"/>
        <item x="24"/>
        <item x="42"/>
        <item x="22"/>
        <item x="25"/>
        <item x="27"/>
        <item x="26"/>
        <item x="29"/>
        <item x="28"/>
        <item x="6"/>
        <item x="7"/>
        <item x="31"/>
        <item x="46"/>
        <item x="36"/>
        <item x="47"/>
        <item x="37"/>
        <item x="34"/>
        <item x="33"/>
        <item x="43"/>
        <item x="40"/>
        <item x="41"/>
        <item x="49"/>
        <item x="0"/>
      </items>
    </pivotField>
    <pivotField compact="0" outline="0" showAll="0" defaultSubtotal="0"/>
    <pivotField axis="axisPage" compact="0" outline="0" showAll="0" defaultSubtotal="0">
      <items count="16">
        <item x="5"/>
        <item x="9"/>
        <item x="2"/>
        <item x="7"/>
        <item x="12"/>
        <item x="8"/>
        <item x="6"/>
        <item x="14"/>
        <item x="10"/>
        <item x="4"/>
        <item x="13"/>
        <item x="3"/>
        <item x="15"/>
        <item x="0"/>
        <item x="11"/>
        <item x="1"/>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5">
        <item m="1" x="4"/>
        <item x="2"/>
        <item x="0"/>
        <item m="1" x="3"/>
        <item x="1"/>
      </items>
    </pivotField>
    <pivotField axis="axisRow" compact="0" outline="0" showAll="0" defaultSubtotal="0">
      <items count="8">
        <item x="5"/>
        <item x="1"/>
        <item x="3"/>
        <item x="6"/>
        <item m="1" x="7"/>
        <item x="2"/>
        <item x="0"/>
        <item x="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0"/>
    <field x="1"/>
    <field x="2"/>
    <field x="11"/>
  </rowFields>
  <rowItems count="114">
    <i>
      <x/>
      <x v="27"/>
      <x v="51"/>
      <x v="6"/>
    </i>
    <i>
      <x v="1"/>
      <x v="26"/>
      <x v="51"/>
      <x v="6"/>
    </i>
    <i>
      <x v="2"/>
      <x v="34"/>
      <x v="3"/>
      <x v="1"/>
    </i>
    <i>
      <x v="3"/>
      <x v="81"/>
      <x v="51"/>
      <x v="6"/>
    </i>
    <i>
      <x v="4"/>
      <x/>
      <x v="51"/>
      <x v="6"/>
    </i>
    <i>
      <x v="5"/>
      <x v="28"/>
      <x v="14"/>
      <x v="1"/>
    </i>
    <i>
      <x v="6"/>
      <x v="19"/>
      <x v="7"/>
      <x v="6"/>
    </i>
    <i>
      <x v="7"/>
      <x v="44"/>
      <x v="8"/>
      <x v="6"/>
    </i>
    <i>
      <x v="8"/>
      <x v="35"/>
      <x v="51"/>
      <x v="6"/>
    </i>
    <i>
      <x v="9"/>
      <x v="54"/>
      <x v="12"/>
      <x v="5"/>
    </i>
    <i>
      <x v="10"/>
      <x v="47"/>
      <x v="6"/>
      <x v="1"/>
    </i>
    <i>
      <x v="11"/>
      <x v="75"/>
      <x v="51"/>
      <x v="6"/>
    </i>
    <i>
      <x v="12"/>
      <x v="67"/>
      <x v="51"/>
      <x v="6"/>
    </i>
    <i>
      <x v="13"/>
      <x v="41"/>
      <x v="51"/>
      <x v="6"/>
    </i>
    <i>
      <x v="14"/>
      <x v="68"/>
      <x v="51"/>
      <x v="6"/>
    </i>
    <i>
      <x v="15"/>
      <x v="37"/>
      <x v="51"/>
      <x v="6"/>
    </i>
    <i>
      <x v="16"/>
      <x v="38"/>
      <x v="20"/>
      <x v="2"/>
    </i>
    <i>
      <x v="17"/>
      <x v="36"/>
      <x v="19"/>
      <x v="2"/>
    </i>
    <i>
      <x v="18"/>
      <x v="57"/>
      <x v="21"/>
      <x v="2"/>
    </i>
    <i>
      <x v="19"/>
      <x v="66"/>
      <x v="51"/>
      <x v="6"/>
    </i>
    <i>
      <x v="20"/>
      <x v="20"/>
      <x v="51"/>
      <x v="6"/>
    </i>
    <i>
      <x v="21"/>
      <x v="23"/>
      <x v="29"/>
      <x v="5"/>
    </i>
    <i>
      <x v="22"/>
      <x v="21"/>
      <x v="32"/>
      <x v="7"/>
    </i>
    <i>
      <x v="23"/>
      <x v="42"/>
      <x v="28"/>
      <x v="6"/>
    </i>
    <i>
      <x v="24"/>
      <x v="5"/>
      <x v="51"/>
      <x v="6"/>
    </i>
    <i>
      <x v="25"/>
      <x v="31"/>
      <x v="51"/>
      <x v="6"/>
    </i>
    <i>
      <x v="26"/>
      <x v="30"/>
      <x v="33"/>
      <x v="6"/>
    </i>
    <i>
      <x v="27"/>
      <x v="39"/>
      <x v="35"/>
      <x v="6"/>
    </i>
    <i>
      <x v="28"/>
      <x v="63"/>
      <x v="37"/>
      <x/>
    </i>
    <i>
      <x v="29"/>
      <x v="50"/>
      <x v="51"/>
      <x v="6"/>
    </i>
    <i>
      <x v="30"/>
      <x v="73"/>
      <x v="51"/>
      <x v="6"/>
    </i>
    <i>
      <x v="31"/>
      <x v="3"/>
      <x v="51"/>
      <x v="6"/>
    </i>
    <i>
      <x v="32"/>
      <x v="56"/>
      <x v="51"/>
      <x v="6"/>
    </i>
    <i>
      <x v="33"/>
      <x v="24"/>
      <x v="51"/>
      <x v="6"/>
    </i>
    <i>
      <x v="34"/>
      <x v="22"/>
      <x v="26"/>
      <x v="6"/>
    </i>
    <i>
      <x v="35"/>
      <x v="61"/>
      <x v="51"/>
      <x v="6"/>
    </i>
    <i>
      <x v="36"/>
      <x v="80"/>
      <x v="51"/>
      <x v="6"/>
    </i>
    <i>
      <x v="37"/>
      <x v="77"/>
      <x v="51"/>
      <x v="6"/>
    </i>
    <i>
      <x v="38"/>
      <x v="76"/>
      <x v="51"/>
      <x v="6"/>
    </i>
    <i>
      <x v="39"/>
      <x v="78"/>
      <x v="51"/>
      <x v="6"/>
    </i>
    <i>
      <x v="40"/>
      <x v="10"/>
      <x v="51"/>
      <x v="6"/>
    </i>
    <i>
      <x v="41"/>
      <x v="79"/>
      <x v="51"/>
      <x v="6"/>
    </i>
    <i>
      <x v="42"/>
      <x v="6"/>
      <x v="51"/>
      <x v="6"/>
    </i>
    <i>
      <x v="43"/>
      <x v="32"/>
      <x v="46"/>
      <x v="6"/>
    </i>
    <i>
      <x v="44"/>
      <x v="79"/>
      <x v="46"/>
      <x v="6"/>
    </i>
    <i>
      <x v="45"/>
      <x v="1"/>
      <x v="46"/>
      <x v="6"/>
    </i>
    <i>
      <x v="46"/>
      <x v="12"/>
      <x v="51"/>
      <x v="6"/>
    </i>
    <i>
      <x v="47"/>
      <x v="29"/>
      <x v="51"/>
      <x v="6"/>
    </i>
    <i>
      <x v="48"/>
      <x v="71"/>
      <x v="51"/>
      <x v="6"/>
    </i>
    <i>
      <x v="49"/>
      <x v="49"/>
      <x v="51"/>
      <x v="6"/>
    </i>
    <i>
      <x v="50"/>
      <x v="33"/>
      <x v="51"/>
      <x v="6"/>
    </i>
    <i>
      <x v="51"/>
      <x v="13"/>
      <x v="51"/>
      <x v="6"/>
    </i>
    <i>
      <x v="52"/>
      <x v="50"/>
      <x v="45"/>
      <x v="6"/>
    </i>
    <i>
      <x v="53"/>
      <x v="60"/>
      <x/>
      <x v="6"/>
    </i>
    <i>
      <x v="54"/>
      <x v="53"/>
      <x v="42"/>
      <x v="6"/>
    </i>
    <i>
      <x v="55"/>
      <x v="51"/>
      <x v="44"/>
      <x v="6"/>
    </i>
    <i>
      <x v="56"/>
      <x v="74"/>
      <x v="1"/>
      <x v="6"/>
    </i>
    <i>
      <x v="57"/>
      <x v="14"/>
      <x v="51"/>
      <x v="6"/>
    </i>
    <i>
      <x v="58"/>
      <x v="40"/>
      <x v="51"/>
      <x v="6"/>
    </i>
    <i>
      <x v="59"/>
      <x v="84"/>
      <x v="27"/>
      <x v="6"/>
    </i>
    <i>
      <x v="60"/>
      <x v="83"/>
      <x v="40"/>
      <x v="5"/>
    </i>
    <i>
      <x v="61"/>
      <x v="48"/>
      <x v="48"/>
      <x v="6"/>
    </i>
    <i>
      <x v="62"/>
      <x v="73"/>
      <x v="51"/>
      <x v="6"/>
    </i>
    <i>
      <x v="63"/>
      <x v="85"/>
      <x v="51"/>
      <x v="6"/>
    </i>
    <i>
      <x v="64"/>
      <x v="72"/>
      <x v="49"/>
      <x v="3"/>
    </i>
    <i>
      <x v="65"/>
      <x v="65"/>
      <x v="51"/>
      <x v="6"/>
    </i>
    <i>
      <x v="66"/>
      <x v="73"/>
      <x v="51"/>
      <x v="6"/>
    </i>
    <i>
      <x v="67"/>
      <x v="85"/>
      <x v="51"/>
      <x v="6"/>
    </i>
    <i>
      <x v="68"/>
      <x v="43"/>
      <x v="31"/>
      <x v="6"/>
    </i>
    <i>
      <x v="69"/>
      <x v="69"/>
      <x v="51"/>
      <x v="6"/>
    </i>
    <i>
      <x v="70"/>
      <x v="4"/>
      <x v="51"/>
      <x v="6"/>
    </i>
    <i>
      <x v="71"/>
      <x v="59"/>
      <x v="51"/>
      <x v="6"/>
    </i>
    <i>
      <x v="72"/>
      <x v="16"/>
      <x v="51"/>
      <x v="6"/>
    </i>
    <i>
      <x v="73"/>
      <x v="25"/>
      <x v="51"/>
      <x v="6"/>
    </i>
    <i>
      <x v="74"/>
      <x v="70"/>
      <x v="51"/>
      <x v="6"/>
    </i>
    <i>
      <x v="75"/>
      <x v="86"/>
      <x v="51"/>
      <x v="6"/>
    </i>
    <i>
      <x v="76"/>
      <x v="55"/>
      <x v="51"/>
      <x v="6"/>
    </i>
    <i>
      <x v="77"/>
      <x v="62"/>
      <x v="51"/>
      <x v="6"/>
    </i>
    <i>
      <x v="78"/>
      <x v="82"/>
      <x v="51"/>
      <x v="6"/>
    </i>
    <i>
      <x v="79"/>
      <x v="11"/>
      <x v="51"/>
      <x v="6"/>
    </i>
    <i>
      <x v="80"/>
      <x v="45"/>
      <x v="51"/>
      <x v="6"/>
    </i>
    <i>
      <x v="81"/>
      <x v="7"/>
      <x v="51"/>
      <x v="6"/>
    </i>
    <i>
      <x v="82"/>
      <x v="9"/>
      <x v="51"/>
      <x v="6"/>
    </i>
    <i>
      <x v="83"/>
      <x v="18"/>
      <x v="51"/>
      <x v="6"/>
    </i>
    <i>
      <x v="84"/>
      <x v="8"/>
      <x v="4"/>
      <x v="6"/>
    </i>
    <i>
      <x v="85"/>
      <x v="15"/>
      <x v="2"/>
      <x v="6"/>
    </i>
    <i>
      <x v="86"/>
      <x v="52"/>
      <x v="41"/>
      <x/>
    </i>
    <i>
      <x v="87"/>
      <x v="2"/>
      <x v="51"/>
      <x v="6"/>
    </i>
    <i>
      <x v="88"/>
      <x v="17"/>
      <x v="5"/>
      <x v="6"/>
    </i>
    <i>
      <x v="89"/>
      <x v="58"/>
      <x v="51"/>
      <x v="6"/>
    </i>
    <i>
      <x v="90"/>
      <x v="64"/>
      <x v="50"/>
      <x v="6"/>
    </i>
    <i>
      <x v="91"/>
      <x v="46"/>
      <x v="17"/>
      <x v="6"/>
    </i>
    <i>
      <x v="92"/>
      <x v="87"/>
      <x v="4"/>
      <x v="6"/>
    </i>
    <i r="2">
      <x v="9"/>
      <x v="6"/>
    </i>
    <i r="2">
      <x v="10"/>
      <x v="6"/>
    </i>
    <i r="2">
      <x v="11"/>
      <x v="6"/>
    </i>
    <i r="2">
      <x v="13"/>
      <x v="1"/>
    </i>
    <i r="2">
      <x v="15"/>
      <x v="1"/>
    </i>
    <i r="2">
      <x v="16"/>
      <x v="1"/>
    </i>
    <i r="2">
      <x v="18"/>
      <x v="6"/>
    </i>
    <i r="2">
      <x v="22"/>
      <x v="2"/>
    </i>
    <i r="2">
      <x v="23"/>
      <x v="2"/>
    </i>
    <i r="2">
      <x v="24"/>
      <x v="2"/>
    </i>
    <i r="2">
      <x v="25"/>
      <x v="1"/>
    </i>
    <i r="2">
      <x v="30"/>
      <x v="6"/>
    </i>
    <i r="2">
      <x v="34"/>
      <x v="6"/>
    </i>
    <i r="2">
      <x v="36"/>
      <x/>
    </i>
    <i r="2">
      <x v="38"/>
      <x v="1"/>
    </i>
    <i r="2">
      <x v="39"/>
      <x v="6"/>
    </i>
    <i r="2">
      <x v="40"/>
      <x v="6"/>
    </i>
    <i r="2">
      <x v="43"/>
      <x/>
    </i>
    <i r="2">
      <x v="46"/>
      <x v="6"/>
    </i>
    <i r="2">
      <x v="47"/>
      <x v="6"/>
    </i>
    <i r="2">
      <x v="51"/>
      <x v="6"/>
    </i>
  </rowItems>
  <colItems count="1">
    <i/>
  </colItems>
  <pageFields count="2">
    <pageField fld="10" hier="-1"/>
    <pageField fld="4" hier="-1"/>
  </pageFields>
  <formats count="152">
    <format dxfId="152">
      <pivotArea dataOnly="0" labelOnly="1" outline="0" fieldPosition="0">
        <references count="4">
          <reference field="0" count="1" selected="0">
            <x v="45"/>
          </reference>
          <reference field="1" count="1" selected="0">
            <x v="1"/>
          </reference>
          <reference field="4" count="1" selected="0">
            <x v="1"/>
          </reference>
          <reference field="10" count="1">
            <x v="2"/>
          </reference>
        </references>
      </pivotArea>
    </format>
    <format dxfId="151">
      <pivotArea dataOnly="0" labelOnly="1" outline="0" fieldPosition="0">
        <references count="4">
          <reference field="0" count="1" selected="0">
            <x v="22"/>
          </reference>
          <reference field="1" count="1" selected="0">
            <x v="21"/>
          </reference>
          <reference field="4" count="1" selected="0">
            <x v="0"/>
          </reference>
          <reference field="10" count="1">
            <x v="1"/>
          </reference>
        </references>
      </pivotArea>
    </format>
    <format dxfId="150">
      <pivotArea dataOnly="0" labelOnly="1" outline="0" fieldPosition="0">
        <references count="4">
          <reference field="0" count="1" selected="0">
            <x v="34"/>
          </reference>
          <reference field="1" count="1" selected="0">
            <x v="22"/>
          </reference>
          <reference field="4" count="1" selected="0">
            <x v="5"/>
          </reference>
          <reference field="10" count="1">
            <x v="2"/>
          </reference>
        </references>
      </pivotArea>
    </format>
    <format dxfId="149">
      <pivotArea dataOnly="0" labelOnly="1" outline="0" fieldPosition="0">
        <references count="4">
          <reference field="0" count="1" selected="0">
            <x v="21"/>
          </reference>
          <reference field="1" count="1" selected="0">
            <x v="23"/>
          </reference>
          <reference field="4" count="1" selected="0">
            <x v="11"/>
          </reference>
          <reference field="10" count="1">
            <x v="1"/>
          </reference>
        </references>
      </pivotArea>
    </format>
    <format dxfId="148">
      <pivotArea dataOnly="0" labelOnly="1" outline="0" fieldPosition="0">
        <references count="4">
          <reference field="0" count="1" selected="0">
            <x v="0"/>
          </reference>
          <reference field="1" count="1" selected="0">
            <x v="27"/>
          </reference>
          <reference field="4" count="1" selected="0">
            <x v="13"/>
          </reference>
          <reference field="10" count="1">
            <x v="2"/>
          </reference>
        </references>
      </pivotArea>
    </format>
    <format dxfId="147">
      <pivotArea dataOnly="0" labelOnly="1" outline="0" fieldPosition="0">
        <references count="4">
          <reference field="0" count="1" selected="0">
            <x v="5"/>
          </reference>
          <reference field="1" count="1" selected="0">
            <x v="28"/>
          </reference>
          <reference field="4" count="1" selected="0">
            <x v="2"/>
          </reference>
          <reference field="10" count="1">
            <x v="1"/>
          </reference>
        </references>
      </pivotArea>
    </format>
    <format dxfId="146">
      <pivotArea dataOnly="0" labelOnly="1" outline="0" fieldPosition="0">
        <references count="4">
          <reference field="0" count="1" selected="0">
            <x v="26"/>
          </reference>
          <reference field="1" count="1" selected="0">
            <x v="30"/>
          </reference>
          <reference field="4" count="1" selected="0">
            <x v="13"/>
          </reference>
          <reference field="10" count="1">
            <x v="2"/>
          </reference>
        </references>
      </pivotArea>
    </format>
    <format dxfId="145">
      <pivotArea dataOnly="0" labelOnly="1" outline="0" fieldPosition="0">
        <references count="4">
          <reference field="0" count="1" selected="0">
            <x v="2"/>
          </reference>
          <reference field="1" count="1" selected="0">
            <x v="34"/>
          </reference>
          <reference field="4" count="1" selected="0">
            <x v="2"/>
          </reference>
          <reference field="10" count="1">
            <x v="1"/>
          </reference>
        </references>
      </pivotArea>
    </format>
    <format dxfId="144">
      <pivotArea dataOnly="0" labelOnly="1" outline="0" fieldPosition="0">
        <references count="4">
          <reference field="0" count="1" selected="0">
            <x v="17"/>
          </reference>
          <reference field="1" count="1" selected="0">
            <x v="36"/>
          </reference>
          <reference field="4" count="1" selected="0">
            <x v="9"/>
          </reference>
          <reference field="10" count="1">
            <x v="3"/>
          </reference>
        </references>
      </pivotArea>
    </format>
    <format dxfId="143">
      <pivotArea dataOnly="0" labelOnly="1" outline="0" fieldPosition="0">
        <references count="4">
          <reference field="0" count="1" selected="0">
            <x v="27"/>
          </reference>
          <reference field="1" count="1" selected="0">
            <x v="39"/>
          </reference>
          <reference field="4" count="1" selected="0">
            <x v="13"/>
          </reference>
          <reference field="10" count="1">
            <x v="2"/>
          </reference>
        </references>
      </pivotArea>
    </format>
    <format dxfId="142">
      <pivotArea dataOnly="0" labelOnly="1" outline="0" fieldPosition="0">
        <references count="4">
          <reference field="0" count="1" selected="0">
            <x v="10"/>
          </reference>
          <reference field="1" count="1" selected="0">
            <x v="47"/>
          </reference>
          <reference field="4" count="1" selected="0">
            <x v="2"/>
          </reference>
          <reference field="10" count="1">
            <x v="1"/>
          </reference>
        </references>
      </pivotArea>
    </format>
    <format dxfId="141">
      <pivotArea dataOnly="0" labelOnly="1" outline="0" fieldPosition="0">
        <references count="4">
          <reference field="0" count="1" selected="0">
            <x v="61"/>
          </reference>
          <reference field="1" count="1" selected="0">
            <x v="48"/>
          </reference>
          <reference field="4" count="1" selected="0">
            <x v="10"/>
          </reference>
          <reference field="10" count="1">
            <x v="0"/>
          </reference>
        </references>
      </pivotArea>
    </format>
    <format dxfId="140">
      <pivotArea dataOnly="0" labelOnly="1" outline="0" fieldPosition="0">
        <references count="4">
          <reference field="0" count="1" selected="0">
            <x v="52"/>
          </reference>
          <reference field="1" count="1" selected="0">
            <x v="50"/>
          </reference>
          <reference field="4" count="1" selected="0">
            <x v="8"/>
          </reference>
          <reference field="10" count="1">
            <x v="2"/>
          </reference>
        </references>
      </pivotArea>
    </format>
    <format dxfId="139">
      <pivotArea dataOnly="0" labelOnly="1" outline="0" fieldPosition="0">
        <references count="4">
          <reference field="0" count="1" selected="0">
            <x v="86"/>
          </reference>
          <reference field="1" count="1" selected="0">
            <x v="52"/>
          </reference>
          <reference field="4" count="1" selected="0">
            <x v="12"/>
          </reference>
          <reference field="10" count="1">
            <x v="1"/>
          </reference>
        </references>
      </pivotArea>
    </format>
    <format dxfId="138">
      <pivotArea dataOnly="0" labelOnly="1" outline="0" fieldPosition="0">
        <references count="4">
          <reference field="0" count="1" selected="0">
            <x v="54"/>
          </reference>
          <reference field="1" count="1" selected="0">
            <x v="53"/>
          </reference>
          <reference field="4" count="1" selected="0">
            <x v="8"/>
          </reference>
          <reference field="10" count="1">
            <x v="2"/>
          </reference>
        </references>
      </pivotArea>
    </format>
    <format dxfId="137">
      <pivotArea dataOnly="0" labelOnly="1" outline="0" fieldPosition="0">
        <references count="4">
          <reference field="0" count="1" selected="0">
            <x v="9"/>
          </reference>
          <reference field="1" count="1" selected="0">
            <x v="54"/>
          </reference>
          <reference field="4" count="1" selected="0">
            <x v="11"/>
          </reference>
          <reference field="10" count="1">
            <x v="1"/>
          </reference>
        </references>
      </pivotArea>
    </format>
    <format dxfId="136">
      <pivotArea dataOnly="0" labelOnly="1" outline="0" fieldPosition="0">
        <references count="4">
          <reference field="0" count="1" selected="0">
            <x v="18"/>
          </reference>
          <reference field="1" count="1" selected="0">
            <x v="57"/>
          </reference>
          <reference field="4" count="1" selected="0">
            <x v="9"/>
          </reference>
          <reference field="10" count="1">
            <x v="3"/>
          </reference>
        </references>
      </pivotArea>
    </format>
    <format dxfId="135">
      <pivotArea dataOnly="0" labelOnly="1" outline="0" fieldPosition="0">
        <references count="4">
          <reference field="0" count="1" selected="0">
            <x v="89"/>
          </reference>
          <reference field="1" count="1" selected="0">
            <x v="58"/>
          </reference>
          <reference field="4" count="1" selected="0">
            <x v="13"/>
          </reference>
          <reference field="10" count="1">
            <x v="2"/>
          </reference>
        </references>
      </pivotArea>
    </format>
    <format dxfId="134">
      <pivotArea dataOnly="0" labelOnly="1" outline="0" fieldPosition="0">
        <references count="4">
          <reference field="0" count="1" selected="0">
            <x v="28"/>
          </reference>
          <reference field="1" count="1" selected="0">
            <x v="63"/>
          </reference>
          <reference field="4" count="1" selected="0">
            <x v="3"/>
          </reference>
          <reference field="10" count="1">
            <x v="1"/>
          </reference>
        </references>
      </pivotArea>
    </format>
    <format dxfId="133">
      <pivotArea dataOnly="0" labelOnly="1" outline="0" fieldPosition="0">
        <references count="4">
          <reference field="0" count="1" selected="0">
            <x v="90"/>
          </reference>
          <reference field="1" count="1" selected="0">
            <x v="64"/>
          </reference>
          <reference field="4" count="1" selected="0">
            <x v="13"/>
          </reference>
          <reference field="10" count="1">
            <x v="2"/>
          </reference>
        </references>
      </pivotArea>
    </format>
    <format dxfId="132">
      <pivotArea dataOnly="0" labelOnly="1" outline="0" fieldPosition="0">
        <references count="4">
          <reference field="0" count="1" selected="0">
            <x v="60"/>
          </reference>
          <reference field="1" count="1" selected="0">
            <x v="83"/>
          </reference>
          <reference field="4" count="1" selected="0">
            <x v="4"/>
          </reference>
          <reference field="10" count="1">
            <x v="1"/>
          </reference>
        </references>
      </pivotArea>
    </format>
    <format dxfId="131">
      <pivotArea dataOnly="0" labelOnly="1" outline="0" fieldPosition="0">
        <references count="4">
          <reference field="0" count="1" selected="0">
            <x v="59"/>
          </reference>
          <reference field="1" count="1" selected="0">
            <x v="84"/>
          </reference>
          <reference field="4" count="1" selected="0">
            <x v="14"/>
          </reference>
          <reference field="10" count="1">
            <x v="2"/>
          </reference>
        </references>
      </pivotArea>
    </format>
    <format dxfId="130">
      <pivotArea dataOnly="0" labelOnly="1" outline="0" fieldPosition="0">
        <references count="4">
          <reference field="0" count="1" selected="0">
            <x v="92"/>
          </reference>
          <reference field="1" count="1" selected="0">
            <x v="87"/>
          </reference>
          <reference field="4" count="1" selected="0">
            <x v="2"/>
          </reference>
          <reference field="10" count="1">
            <x v="1"/>
          </reference>
        </references>
      </pivotArea>
    </format>
    <format dxfId="129">
      <pivotArea dataOnly="0" labelOnly="1" outline="0" fieldPosition="0">
        <references count="4">
          <reference field="0" count="1" selected="0">
            <x v="92"/>
          </reference>
          <reference field="1" count="1" selected="0">
            <x v="87"/>
          </reference>
          <reference field="4" count="1" selected="0">
            <x v="5"/>
          </reference>
          <reference field="10" count="1">
            <x v="2"/>
          </reference>
        </references>
      </pivotArea>
    </format>
    <format dxfId="128">
      <pivotArea dataOnly="0" labelOnly="1" outline="0" fieldPosition="0">
        <references count="4">
          <reference field="0" count="1" selected="0">
            <x v="92"/>
          </reference>
          <reference field="1" count="1" selected="0">
            <x v="87"/>
          </reference>
          <reference field="4" count="1" selected="0">
            <x v="9"/>
          </reference>
          <reference field="10" count="1">
            <x v="3"/>
          </reference>
        </references>
      </pivotArea>
    </format>
    <format dxfId="127">
      <pivotArea dataOnly="0" labelOnly="1" outline="0" fieldPosition="0">
        <references count="4">
          <reference field="0" count="1" selected="0">
            <x v="92"/>
          </reference>
          <reference field="1" count="1" selected="0">
            <x v="87"/>
          </reference>
          <reference field="4" count="1" selected="0">
            <x v="12"/>
          </reference>
          <reference field="10" count="1">
            <x v="1"/>
          </reference>
        </references>
      </pivotArea>
    </format>
    <format dxfId="126">
      <pivotArea dataOnly="0" labelOnly="1" outline="0" fieldPosition="0">
        <references count="4">
          <reference field="0" count="1" selected="0">
            <x v="92"/>
          </reference>
          <reference field="1" count="1" selected="0">
            <x v="87"/>
          </reference>
          <reference field="4" count="1" selected="0">
            <x v="13"/>
          </reference>
          <reference field="10" count="1">
            <x v="2"/>
          </reference>
        </references>
      </pivotArea>
    </format>
    <format dxfId="125">
      <pivotArea field="11" type="button" dataOnly="0" labelOnly="1" outline="0" axis="axisRow" fieldPosition="3"/>
    </format>
    <format dxfId="124">
      <pivotArea dataOnly="0" labelOnly="1" outline="0" fieldPosition="0">
        <references count="5">
          <reference field="0" count="1" selected="0">
            <x v="45"/>
          </reference>
          <reference field="1" count="1" selected="0">
            <x v="1"/>
          </reference>
          <reference field="4" count="1" selected="0">
            <x v="1"/>
          </reference>
          <reference field="10" count="1" selected="0">
            <x v="2"/>
          </reference>
          <reference field="11" count="1">
            <x v="6"/>
          </reference>
        </references>
      </pivotArea>
    </format>
    <format dxfId="123">
      <pivotArea dataOnly="0" labelOnly="1" outline="0" fieldPosition="0">
        <references count="5">
          <reference field="0" count="1" selected="0">
            <x v="84"/>
          </reference>
          <reference field="1" count="1" selected="0">
            <x v="8"/>
          </reference>
          <reference field="4" count="1" selected="0">
            <x v="13"/>
          </reference>
          <reference field="10" count="1" selected="0">
            <x v="2"/>
          </reference>
          <reference field="11" count="1">
            <x v="6"/>
          </reference>
        </references>
      </pivotArea>
    </format>
    <format dxfId="122">
      <pivotArea dataOnly="0" labelOnly="1" outline="0" fieldPosition="0">
        <references count="5">
          <reference field="0" count="1" selected="0">
            <x v="85"/>
          </reference>
          <reference field="1" count="1" selected="0">
            <x v="15"/>
          </reference>
          <reference field="4" count="1" selected="0">
            <x v="13"/>
          </reference>
          <reference field="10" count="1" selected="0">
            <x v="2"/>
          </reference>
          <reference field="11" count="1">
            <x v="6"/>
          </reference>
        </references>
      </pivotArea>
    </format>
    <format dxfId="121">
      <pivotArea dataOnly="0" labelOnly="1" outline="0" fieldPosition="0">
        <references count="5">
          <reference field="0" count="1" selected="0">
            <x v="88"/>
          </reference>
          <reference field="1" count="1" selected="0">
            <x v="17"/>
          </reference>
          <reference field="4" count="1" selected="0">
            <x v="13"/>
          </reference>
          <reference field="10" count="1" selected="0">
            <x v="2"/>
          </reference>
          <reference field="11" count="1">
            <x v="6"/>
          </reference>
        </references>
      </pivotArea>
    </format>
    <format dxfId="120">
      <pivotArea dataOnly="0" labelOnly="1" outline="0" fieldPosition="0">
        <references count="5">
          <reference field="0" count="1" selected="0">
            <x v="6"/>
          </reference>
          <reference field="1" count="1" selected="0">
            <x v="19"/>
          </reference>
          <reference field="4" count="1" selected="0">
            <x v="13"/>
          </reference>
          <reference field="10" count="1" selected="0">
            <x v="2"/>
          </reference>
          <reference field="11" count="1">
            <x v="6"/>
          </reference>
        </references>
      </pivotArea>
    </format>
    <format dxfId="119">
      <pivotArea dataOnly="0" labelOnly="1" outline="0" fieldPosition="0">
        <references count="5">
          <reference field="0" count="1" selected="0">
            <x v="22"/>
          </reference>
          <reference field="1" count="1" selected="0">
            <x v="21"/>
          </reference>
          <reference field="4" count="1" selected="0">
            <x v="0"/>
          </reference>
          <reference field="10" count="1" selected="0">
            <x v="1"/>
          </reference>
          <reference field="11" count="1">
            <x v="6"/>
          </reference>
        </references>
      </pivotArea>
    </format>
    <format dxfId="118">
      <pivotArea dataOnly="0" labelOnly="1" outline="0" fieldPosition="0">
        <references count="5">
          <reference field="0" count="1" selected="0">
            <x v="34"/>
          </reference>
          <reference field="1" count="1" selected="0">
            <x v="22"/>
          </reference>
          <reference field="4" count="1" selected="0">
            <x v="5"/>
          </reference>
          <reference field="10" count="1" selected="0">
            <x v="2"/>
          </reference>
          <reference field="11" count="1">
            <x v="6"/>
          </reference>
        </references>
      </pivotArea>
    </format>
    <format dxfId="117">
      <pivotArea dataOnly="0" labelOnly="1" outline="0" fieldPosition="0">
        <references count="5">
          <reference field="0" count="1" selected="0">
            <x v="21"/>
          </reference>
          <reference field="1" count="1" selected="0">
            <x v="23"/>
          </reference>
          <reference field="4" count="1" selected="0">
            <x v="11"/>
          </reference>
          <reference field="10" count="1" selected="0">
            <x v="1"/>
          </reference>
          <reference field="11" count="1">
            <x v="5"/>
          </reference>
        </references>
      </pivotArea>
    </format>
    <format dxfId="116">
      <pivotArea dataOnly="0" labelOnly="1" outline="0" fieldPosition="0">
        <references count="5">
          <reference field="0" count="1" selected="0">
            <x v="0"/>
          </reference>
          <reference field="1" count="1" selected="0">
            <x v="27"/>
          </reference>
          <reference field="4" count="1" selected="0">
            <x v="13"/>
          </reference>
          <reference field="10" count="1" selected="0">
            <x v="2"/>
          </reference>
          <reference field="11" count="1">
            <x v="6"/>
          </reference>
        </references>
      </pivotArea>
    </format>
    <format dxfId="115">
      <pivotArea dataOnly="0" labelOnly="1" outline="0" fieldPosition="0">
        <references count="5">
          <reference field="0" count="1" selected="0">
            <x v="5"/>
          </reference>
          <reference field="1" count="1" selected="0">
            <x v="28"/>
          </reference>
          <reference field="4" count="1" selected="0">
            <x v="2"/>
          </reference>
          <reference field="10" count="1" selected="0">
            <x v="1"/>
          </reference>
          <reference field="11" count="1">
            <x v="1"/>
          </reference>
        </references>
      </pivotArea>
    </format>
    <format dxfId="114">
      <pivotArea dataOnly="0" labelOnly="1" outline="0" fieldPosition="0">
        <references count="5">
          <reference field="0" count="1" selected="0">
            <x v="26"/>
          </reference>
          <reference field="1" count="1" selected="0">
            <x v="30"/>
          </reference>
          <reference field="4" count="1" selected="0">
            <x v="13"/>
          </reference>
          <reference field="10" count="1" selected="0">
            <x v="2"/>
          </reference>
          <reference field="11" count="1">
            <x v="6"/>
          </reference>
        </references>
      </pivotArea>
    </format>
    <format dxfId="113">
      <pivotArea dataOnly="0" labelOnly="1" outline="0" fieldPosition="0">
        <references count="5">
          <reference field="0" count="1" selected="0">
            <x v="43"/>
          </reference>
          <reference field="1" count="1" selected="0">
            <x v="32"/>
          </reference>
          <reference field="4" count="1" selected="0">
            <x v="1"/>
          </reference>
          <reference field="10" count="1" selected="0">
            <x v="2"/>
          </reference>
          <reference field="11" count="1">
            <x v="6"/>
          </reference>
        </references>
      </pivotArea>
    </format>
    <format dxfId="112">
      <pivotArea dataOnly="0" labelOnly="1" outline="0" fieldPosition="0">
        <references count="5">
          <reference field="0" count="1" selected="0">
            <x v="2"/>
          </reference>
          <reference field="1" count="1" selected="0">
            <x v="34"/>
          </reference>
          <reference field="4" count="1" selected="0">
            <x v="2"/>
          </reference>
          <reference field="10" count="1" selected="0">
            <x v="1"/>
          </reference>
          <reference field="11" count="1">
            <x v="1"/>
          </reference>
        </references>
      </pivotArea>
    </format>
    <format dxfId="111">
      <pivotArea dataOnly="0" labelOnly="1" outline="0" fieldPosition="0">
        <references count="5">
          <reference field="0" count="1" selected="0">
            <x v="17"/>
          </reference>
          <reference field="1" count="1" selected="0">
            <x v="36"/>
          </reference>
          <reference field="4" count="1" selected="0">
            <x v="9"/>
          </reference>
          <reference field="10" count="1" selected="0">
            <x v="3"/>
          </reference>
          <reference field="11" count="1">
            <x v="2"/>
          </reference>
        </references>
      </pivotArea>
    </format>
    <format dxfId="110">
      <pivotArea dataOnly="0" labelOnly="1" outline="0" fieldPosition="0">
        <references count="5">
          <reference field="0" count="1" selected="0">
            <x v="16"/>
          </reference>
          <reference field="1" count="1" selected="0">
            <x v="38"/>
          </reference>
          <reference field="4" count="1" selected="0">
            <x v="9"/>
          </reference>
          <reference field="10" count="1" selected="0">
            <x v="3"/>
          </reference>
          <reference field="11" count="1">
            <x v="2"/>
          </reference>
        </references>
      </pivotArea>
    </format>
    <format dxfId="109">
      <pivotArea dataOnly="0" labelOnly="1" outline="0" fieldPosition="0">
        <references count="5">
          <reference field="0" count="1" selected="0">
            <x v="27"/>
          </reference>
          <reference field="1" count="1" selected="0">
            <x v="39"/>
          </reference>
          <reference field="4" count="1" selected="0">
            <x v="13"/>
          </reference>
          <reference field="10" count="1" selected="0">
            <x v="2"/>
          </reference>
          <reference field="11" count="1">
            <x v="6"/>
          </reference>
        </references>
      </pivotArea>
    </format>
    <format dxfId="108">
      <pivotArea dataOnly="0" labelOnly="1" outline="0" fieldPosition="0">
        <references count="5">
          <reference field="0" count="1" selected="0">
            <x v="23"/>
          </reference>
          <reference field="1" count="1" selected="0">
            <x v="42"/>
          </reference>
          <reference field="4" count="1" selected="0">
            <x v="6"/>
          </reference>
          <reference field="10" count="1" selected="0">
            <x v="2"/>
          </reference>
          <reference field="11" count="1">
            <x v="6"/>
          </reference>
        </references>
      </pivotArea>
    </format>
    <format dxfId="107">
      <pivotArea dataOnly="0" labelOnly="1" outline="0" fieldPosition="0">
        <references count="5">
          <reference field="0" count="1" selected="0">
            <x v="68"/>
          </reference>
          <reference field="1" count="1" selected="0">
            <x v="43"/>
          </reference>
          <reference field="4" count="1" selected="0">
            <x v="6"/>
          </reference>
          <reference field="10" count="1" selected="0">
            <x v="2"/>
          </reference>
          <reference field="11" count="1">
            <x v="6"/>
          </reference>
        </references>
      </pivotArea>
    </format>
    <format dxfId="106">
      <pivotArea dataOnly="0" labelOnly="1" outline="0" fieldPosition="0">
        <references count="5">
          <reference field="0" count="1" selected="0">
            <x v="7"/>
          </reference>
          <reference field="1" count="1" selected="0">
            <x v="44"/>
          </reference>
          <reference field="4" count="1" selected="0">
            <x v="13"/>
          </reference>
          <reference field="10" count="1" selected="0">
            <x v="2"/>
          </reference>
          <reference field="11" count="1">
            <x v="6"/>
          </reference>
        </references>
      </pivotArea>
    </format>
    <format dxfId="105">
      <pivotArea dataOnly="0" labelOnly="1" outline="0" fieldPosition="0">
        <references count="5">
          <reference field="0" count="1" selected="0">
            <x v="91"/>
          </reference>
          <reference field="1" count="1" selected="0">
            <x v="46"/>
          </reference>
          <reference field="4" count="1" selected="0">
            <x v="13"/>
          </reference>
          <reference field="10" count="1" selected="0">
            <x v="2"/>
          </reference>
          <reference field="11" count="1">
            <x v="6"/>
          </reference>
        </references>
      </pivotArea>
    </format>
    <format dxfId="104">
      <pivotArea dataOnly="0" labelOnly="1" outline="0" fieldPosition="0">
        <references count="5">
          <reference field="0" count="1" selected="0">
            <x v="10"/>
          </reference>
          <reference field="1" count="1" selected="0">
            <x v="47"/>
          </reference>
          <reference field="4" count="1" selected="0">
            <x v="2"/>
          </reference>
          <reference field="10" count="1" selected="0">
            <x v="1"/>
          </reference>
          <reference field="11" count="1">
            <x v="1"/>
          </reference>
        </references>
      </pivotArea>
    </format>
    <format dxfId="103">
      <pivotArea dataOnly="0" labelOnly="1" outline="0" fieldPosition="0">
        <references count="5">
          <reference field="0" count="1" selected="0">
            <x v="61"/>
          </reference>
          <reference field="1" count="1" selected="0">
            <x v="48"/>
          </reference>
          <reference field="4" count="1" selected="0">
            <x v="10"/>
          </reference>
          <reference field="10" count="1" selected="0">
            <x v="0"/>
          </reference>
          <reference field="11" count="1">
            <x v="4"/>
          </reference>
        </references>
      </pivotArea>
    </format>
    <format dxfId="102">
      <pivotArea dataOnly="0" labelOnly="1" outline="0" fieldPosition="0">
        <references count="5">
          <reference field="0" count="1" selected="0">
            <x v="52"/>
          </reference>
          <reference field="1" count="1" selected="0">
            <x v="50"/>
          </reference>
          <reference field="4" count="1" selected="0">
            <x v="8"/>
          </reference>
          <reference field="10" count="1" selected="0">
            <x v="2"/>
          </reference>
          <reference field="11" count="1">
            <x v="6"/>
          </reference>
        </references>
      </pivotArea>
    </format>
    <format dxfId="101">
      <pivotArea dataOnly="0" labelOnly="1" outline="0" fieldPosition="0">
        <references count="5">
          <reference field="0" count="1" selected="0">
            <x v="55"/>
          </reference>
          <reference field="1" count="1" selected="0">
            <x v="51"/>
          </reference>
          <reference field="4" count="1" selected="0">
            <x v="8"/>
          </reference>
          <reference field="10" count="1" selected="0">
            <x v="2"/>
          </reference>
          <reference field="11" count="1">
            <x v="6"/>
          </reference>
        </references>
      </pivotArea>
    </format>
    <format dxfId="100">
      <pivotArea dataOnly="0" labelOnly="1" outline="0" fieldPosition="0">
        <references count="5">
          <reference field="0" count="1" selected="0">
            <x v="86"/>
          </reference>
          <reference field="1" count="1" selected="0">
            <x v="52"/>
          </reference>
          <reference field="4" count="1" selected="0">
            <x v="12"/>
          </reference>
          <reference field="10" count="1" selected="0">
            <x v="1"/>
          </reference>
          <reference field="11" count="1">
            <x v="0"/>
          </reference>
        </references>
      </pivotArea>
    </format>
    <format dxfId="99">
      <pivotArea dataOnly="0" labelOnly="1" outline="0" fieldPosition="0">
        <references count="5">
          <reference field="0" count="1" selected="0">
            <x v="54"/>
          </reference>
          <reference field="1" count="1" selected="0">
            <x v="53"/>
          </reference>
          <reference field="4" count="1" selected="0">
            <x v="8"/>
          </reference>
          <reference field="10" count="1" selected="0">
            <x v="2"/>
          </reference>
          <reference field="11" count="1">
            <x v="6"/>
          </reference>
        </references>
      </pivotArea>
    </format>
    <format dxfId="98">
      <pivotArea dataOnly="0" labelOnly="1" outline="0" fieldPosition="0">
        <references count="5">
          <reference field="0" count="1" selected="0">
            <x v="9"/>
          </reference>
          <reference field="1" count="1" selected="0">
            <x v="54"/>
          </reference>
          <reference field="4" count="1" selected="0">
            <x v="11"/>
          </reference>
          <reference field="10" count="1" selected="0">
            <x v="1"/>
          </reference>
          <reference field="11" count="1">
            <x v="5"/>
          </reference>
        </references>
      </pivotArea>
    </format>
    <format dxfId="97">
      <pivotArea dataOnly="0" labelOnly="1" outline="0" fieldPosition="0">
        <references count="5">
          <reference field="0" count="1" selected="0">
            <x v="18"/>
          </reference>
          <reference field="1" count="1" selected="0">
            <x v="57"/>
          </reference>
          <reference field="4" count="1" selected="0">
            <x v="9"/>
          </reference>
          <reference field="10" count="1" selected="0">
            <x v="3"/>
          </reference>
          <reference field="11" count="1">
            <x v="2"/>
          </reference>
        </references>
      </pivotArea>
    </format>
    <format dxfId="96">
      <pivotArea dataOnly="0" labelOnly="1" outline="0" fieldPosition="0">
        <references count="5">
          <reference field="0" count="1" selected="0">
            <x v="89"/>
          </reference>
          <reference field="1" count="1" selected="0">
            <x v="58"/>
          </reference>
          <reference field="4" count="1" selected="0">
            <x v="13"/>
          </reference>
          <reference field="10" count="1" selected="0">
            <x v="2"/>
          </reference>
          <reference field="11" count="1">
            <x v="6"/>
          </reference>
        </references>
      </pivotArea>
    </format>
    <format dxfId="95">
      <pivotArea dataOnly="0" labelOnly="1" outline="0" fieldPosition="0">
        <references count="5">
          <reference field="0" count="1" selected="0">
            <x v="53"/>
          </reference>
          <reference field="1" count="1" selected="0">
            <x v="60"/>
          </reference>
          <reference field="4" count="1" selected="0">
            <x v="8"/>
          </reference>
          <reference field="10" count="1" selected="0">
            <x v="2"/>
          </reference>
          <reference field="11" count="1">
            <x v="6"/>
          </reference>
        </references>
      </pivotArea>
    </format>
    <format dxfId="94">
      <pivotArea dataOnly="0" labelOnly="1" outline="0" fieldPosition="0">
        <references count="5">
          <reference field="0" count="1" selected="0">
            <x v="28"/>
          </reference>
          <reference field="1" count="1" selected="0">
            <x v="63"/>
          </reference>
          <reference field="4" count="1" selected="0">
            <x v="3"/>
          </reference>
          <reference field="10" count="1" selected="0">
            <x v="1"/>
          </reference>
          <reference field="11" count="1">
            <x v="0"/>
          </reference>
        </references>
      </pivotArea>
    </format>
    <format dxfId="93">
      <pivotArea dataOnly="0" labelOnly="1" outline="0" fieldPosition="0">
        <references count="5">
          <reference field="0" count="1" selected="0">
            <x v="90"/>
          </reference>
          <reference field="1" count="1" selected="0">
            <x v="64"/>
          </reference>
          <reference field="4" count="1" selected="0">
            <x v="13"/>
          </reference>
          <reference field="10" count="1" selected="0">
            <x v="2"/>
          </reference>
          <reference field="11" count="1">
            <x v="6"/>
          </reference>
        </references>
      </pivotArea>
    </format>
    <format dxfId="92">
      <pivotArea dataOnly="0" labelOnly="1" outline="0" fieldPosition="0">
        <references count="5">
          <reference field="0" count="1" selected="0">
            <x v="64"/>
          </reference>
          <reference field="1" count="1" selected="0">
            <x v="72"/>
          </reference>
          <reference field="4" count="1" selected="0">
            <x v="7"/>
          </reference>
          <reference field="10" count="1" selected="0">
            <x v="2"/>
          </reference>
          <reference field="11" count="1">
            <x v="3"/>
          </reference>
        </references>
      </pivotArea>
    </format>
    <format dxfId="91">
      <pivotArea dataOnly="0" labelOnly="1" outline="0" fieldPosition="0">
        <references count="5">
          <reference field="0" count="1" selected="0">
            <x v="56"/>
          </reference>
          <reference field="1" count="1" selected="0">
            <x v="74"/>
          </reference>
          <reference field="4" count="1" selected="0">
            <x v="13"/>
          </reference>
          <reference field="10" count="1" selected="0">
            <x v="2"/>
          </reference>
          <reference field="11" count="1">
            <x v="6"/>
          </reference>
        </references>
      </pivotArea>
    </format>
    <format dxfId="90">
      <pivotArea dataOnly="0" labelOnly="1" outline="0" fieldPosition="0">
        <references count="5">
          <reference field="0" count="1" selected="0">
            <x v="44"/>
          </reference>
          <reference field="1" count="1" selected="0">
            <x v="79"/>
          </reference>
          <reference field="4" count="1" selected="0">
            <x v="1"/>
          </reference>
          <reference field="10" count="1" selected="0">
            <x v="2"/>
          </reference>
          <reference field="11" count="1">
            <x v="6"/>
          </reference>
        </references>
      </pivotArea>
    </format>
    <format dxfId="89">
      <pivotArea dataOnly="0" labelOnly="1" outline="0" fieldPosition="0">
        <references count="5">
          <reference field="0" count="1" selected="0">
            <x v="60"/>
          </reference>
          <reference field="1" count="1" selected="0">
            <x v="83"/>
          </reference>
          <reference field="4" count="1" selected="0">
            <x v="4"/>
          </reference>
          <reference field="10" count="1" selected="0">
            <x v="1"/>
          </reference>
          <reference field="11" count="1">
            <x v="5"/>
          </reference>
        </references>
      </pivotArea>
    </format>
    <format dxfId="88">
      <pivotArea dataOnly="0" labelOnly="1" outline="0" fieldPosition="0">
        <references count="5">
          <reference field="0" count="1" selected="0">
            <x v="59"/>
          </reference>
          <reference field="1" count="1" selected="0">
            <x v="84"/>
          </reference>
          <reference field="4" count="1" selected="0">
            <x v="14"/>
          </reference>
          <reference field="10" count="1" selected="0">
            <x v="2"/>
          </reference>
          <reference field="11" count="1">
            <x v="6"/>
          </reference>
        </references>
      </pivotArea>
    </format>
    <format dxfId="87">
      <pivotArea dataOnly="0" labelOnly="1" outline="0" fieldPosition="0">
        <references count="5">
          <reference field="0" count="1" selected="0">
            <x v="92"/>
          </reference>
          <reference field="1" count="1" selected="0">
            <x v="87"/>
          </reference>
          <reference field="4" count="1" selected="0">
            <x v="1"/>
          </reference>
          <reference field="10" count="1" selected="0">
            <x v="2"/>
          </reference>
          <reference field="11" count="1">
            <x v="6"/>
          </reference>
        </references>
      </pivotArea>
    </format>
    <format dxfId="86">
      <pivotArea dataOnly="0" labelOnly="1" outline="0" fieldPosition="0">
        <references count="5">
          <reference field="0" count="1" selected="0">
            <x v="92"/>
          </reference>
          <reference field="1" count="1" selected="0">
            <x v="87"/>
          </reference>
          <reference field="4" count="1" selected="0">
            <x v="2"/>
          </reference>
          <reference field="10" count="1" selected="0">
            <x v="1"/>
          </reference>
          <reference field="11" count="1">
            <x v="1"/>
          </reference>
        </references>
      </pivotArea>
    </format>
    <format dxfId="85">
      <pivotArea dataOnly="0" labelOnly="1" outline="0" fieldPosition="0">
        <references count="5">
          <reference field="0" count="1" selected="0">
            <x v="92"/>
          </reference>
          <reference field="1" count="1" selected="0">
            <x v="87"/>
          </reference>
          <reference field="4" count="1" selected="0">
            <x v="3"/>
          </reference>
          <reference field="10" count="1" selected="0">
            <x v="1"/>
          </reference>
          <reference field="11" count="1">
            <x v="0"/>
          </reference>
        </references>
      </pivotArea>
    </format>
    <format dxfId="84">
      <pivotArea dataOnly="0" labelOnly="1" outline="0" fieldPosition="0">
        <references count="5">
          <reference field="0" count="1" selected="0">
            <x v="92"/>
          </reference>
          <reference field="1" count="1" selected="0">
            <x v="87"/>
          </reference>
          <reference field="4" count="1" selected="0">
            <x v="5"/>
          </reference>
          <reference field="10" count="1" selected="0">
            <x v="2"/>
          </reference>
          <reference field="11" count="1">
            <x v="6"/>
          </reference>
        </references>
      </pivotArea>
    </format>
    <format dxfId="83">
      <pivotArea dataOnly="0" labelOnly="1" outline="0" fieldPosition="0">
        <references count="5">
          <reference field="0" count="1" selected="0">
            <x v="92"/>
          </reference>
          <reference field="1" count="1" selected="0">
            <x v="87"/>
          </reference>
          <reference field="4" count="1" selected="0">
            <x v="6"/>
          </reference>
          <reference field="10" count="1" selected="0">
            <x v="2"/>
          </reference>
          <reference field="11" count="1">
            <x v="6"/>
          </reference>
        </references>
      </pivotArea>
    </format>
    <format dxfId="82">
      <pivotArea dataOnly="0" labelOnly="1" outline="0" fieldPosition="0">
        <references count="5">
          <reference field="0" count="1" selected="0">
            <x v="92"/>
          </reference>
          <reference field="1" count="1" selected="0">
            <x v="87"/>
          </reference>
          <reference field="4" count="1" selected="0">
            <x v="9"/>
          </reference>
          <reference field="10" count="1" selected="0">
            <x v="3"/>
          </reference>
          <reference field="11" count="1">
            <x v="2"/>
          </reference>
        </references>
      </pivotArea>
    </format>
    <format dxfId="81">
      <pivotArea dataOnly="0" labelOnly="1" outline="0" fieldPosition="0">
        <references count="5">
          <reference field="0" count="1" selected="0">
            <x v="92"/>
          </reference>
          <reference field="1" count="1" selected="0">
            <x v="87"/>
          </reference>
          <reference field="4" count="1" selected="0">
            <x v="12"/>
          </reference>
          <reference field="10" count="1" selected="0">
            <x v="1"/>
          </reference>
          <reference field="11" count="1">
            <x v="0"/>
          </reference>
        </references>
      </pivotArea>
    </format>
    <format dxfId="80">
      <pivotArea dataOnly="0" labelOnly="1" outline="0" fieldPosition="0">
        <references count="5">
          <reference field="0" count="1" selected="0">
            <x v="92"/>
          </reference>
          <reference field="1" count="1" selected="0">
            <x v="87"/>
          </reference>
          <reference field="4" count="1" selected="0">
            <x v="13"/>
          </reference>
          <reference field="10" count="1" selected="0">
            <x v="2"/>
          </reference>
          <reference field="11" count="1">
            <x v="6"/>
          </reference>
        </references>
      </pivotArea>
    </format>
    <format dxfId="79">
      <pivotArea field="0" type="button" dataOnly="0" labelOnly="1" outline="0" axis="axisRow" fieldPosition="0"/>
    </format>
    <format dxfId="78">
      <pivotArea dataOnly="0" labelOnly="1" outline="0" fieldPosition="0">
        <references count="2">
          <reference field="0" count="1">
            <x v="45"/>
          </reference>
          <reference field="1" count="1" selected="0">
            <x v="1"/>
          </reference>
        </references>
      </pivotArea>
    </format>
    <format dxfId="77">
      <pivotArea dataOnly="0" labelOnly="1" outline="0" fieldPosition="0">
        <references count="2">
          <reference field="0" count="1">
            <x v="84"/>
          </reference>
          <reference field="1" count="1" selected="0">
            <x v="8"/>
          </reference>
        </references>
      </pivotArea>
    </format>
    <format dxfId="76">
      <pivotArea dataOnly="0" labelOnly="1" outline="0" fieldPosition="0">
        <references count="2">
          <reference field="0" count="1">
            <x v="85"/>
          </reference>
          <reference field="1" count="1" selected="0">
            <x v="15"/>
          </reference>
        </references>
      </pivotArea>
    </format>
    <format dxfId="75">
      <pivotArea dataOnly="0" labelOnly="1" outline="0" fieldPosition="0">
        <references count="2">
          <reference field="0" count="1">
            <x v="88"/>
          </reference>
          <reference field="1" count="1" selected="0">
            <x v="17"/>
          </reference>
        </references>
      </pivotArea>
    </format>
    <format dxfId="74">
      <pivotArea dataOnly="0" labelOnly="1" outline="0" fieldPosition="0">
        <references count="2">
          <reference field="0" count="1">
            <x v="6"/>
          </reference>
          <reference field="1" count="1" selected="0">
            <x v="19"/>
          </reference>
        </references>
      </pivotArea>
    </format>
    <format dxfId="73">
      <pivotArea dataOnly="0" labelOnly="1" outline="0" fieldPosition="0">
        <references count="2">
          <reference field="0" count="1">
            <x v="22"/>
          </reference>
          <reference field="1" count="1" selected="0">
            <x v="21"/>
          </reference>
        </references>
      </pivotArea>
    </format>
    <format dxfId="72">
      <pivotArea dataOnly="0" labelOnly="1" outline="0" fieldPosition="0">
        <references count="2">
          <reference field="0" count="1">
            <x v="34"/>
          </reference>
          <reference field="1" count="1" selected="0">
            <x v="22"/>
          </reference>
        </references>
      </pivotArea>
    </format>
    <format dxfId="71">
      <pivotArea dataOnly="0" labelOnly="1" outline="0" fieldPosition="0">
        <references count="2">
          <reference field="0" count="1">
            <x v="21"/>
          </reference>
          <reference field="1" count="1" selected="0">
            <x v="23"/>
          </reference>
        </references>
      </pivotArea>
    </format>
    <format dxfId="70">
      <pivotArea dataOnly="0" labelOnly="1" outline="0" fieldPosition="0">
        <references count="2">
          <reference field="0" count="1">
            <x v="0"/>
          </reference>
          <reference field="1" count="1" selected="0">
            <x v="27"/>
          </reference>
        </references>
      </pivotArea>
    </format>
    <format dxfId="69">
      <pivotArea dataOnly="0" labelOnly="1" outline="0" fieldPosition="0">
        <references count="2">
          <reference field="0" count="1">
            <x v="5"/>
          </reference>
          <reference field="1" count="1" selected="0">
            <x v="28"/>
          </reference>
        </references>
      </pivotArea>
    </format>
    <format dxfId="68">
      <pivotArea dataOnly="0" labelOnly="1" outline="0" fieldPosition="0">
        <references count="2">
          <reference field="0" count="1">
            <x v="26"/>
          </reference>
          <reference field="1" count="1" selected="0">
            <x v="30"/>
          </reference>
        </references>
      </pivotArea>
    </format>
    <format dxfId="67">
      <pivotArea dataOnly="0" labelOnly="1" outline="0" fieldPosition="0">
        <references count="2">
          <reference field="0" count="1">
            <x v="43"/>
          </reference>
          <reference field="1" count="1" selected="0">
            <x v="32"/>
          </reference>
        </references>
      </pivotArea>
    </format>
    <format dxfId="66">
      <pivotArea dataOnly="0" labelOnly="1" outline="0" fieldPosition="0">
        <references count="2">
          <reference field="0" count="1">
            <x v="2"/>
          </reference>
          <reference field="1" count="1" selected="0">
            <x v="34"/>
          </reference>
        </references>
      </pivotArea>
    </format>
    <format dxfId="65">
      <pivotArea dataOnly="0" labelOnly="1" outline="0" fieldPosition="0">
        <references count="2">
          <reference field="0" count="1">
            <x v="17"/>
          </reference>
          <reference field="1" count="1" selected="0">
            <x v="36"/>
          </reference>
        </references>
      </pivotArea>
    </format>
    <format dxfId="64">
      <pivotArea dataOnly="0" labelOnly="1" outline="0" fieldPosition="0">
        <references count="2">
          <reference field="0" count="1">
            <x v="16"/>
          </reference>
          <reference field="1" count="1" selected="0">
            <x v="38"/>
          </reference>
        </references>
      </pivotArea>
    </format>
    <format dxfId="63">
      <pivotArea dataOnly="0" labelOnly="1" outline="0" fieldPosition="0">
        <references count="2">
          <reference field="0" count="1">
            <x v="27"/>
          </reference>
          <reference field="1" count="1" selected="0">
            <x v="39"/>
          </reference>
        </references>
      </pivotArea>
    </format>
    <format dxfId="62">
      <pivotArea dataOnly="0" labelOnly="1" outline="0" fieldPosition="0">
        <references count="2">
          <reference field="0" count="1">
            <x v="23"/>
          </reference>
          <reference field="1" count="1" selected="0">
            <x v="42"/>
          </reference>
        </references>
      </pivotArea>
    </format>
    <format dxfId="61">
      <pivotArea dataOnly="0" labelOnly="1" outline="0" fieldPosition="0">
        <references count="2">
          <reference field="0" count="1">
            <x v="68"/>
          </reference>
          <reference field="1" count="1" selected="0">
            <x v="43"/>
          </reference>
        </references>
      </pivotArea>
    </format>
    <format dxfId="60">
      <pivotArea dataOnly="0" labelOnly="1" outline="0" fieldPosition="0">
        <references count="2">
          <reference field="0" count="1">
            <x v="7"/>
          </reference>
          <reference field="1" count="1" selected="0">
            <x v="44"/>
          </reference>
        </references>
      </pivotArea>
    </format>
    <format dxfId="59">
      <pivotArea dataOnly="0" labelOnly="1" outline="0" fieldPosition="0">
        <references count="2">
          <reference field="0" count="1">
            <x v="91"/>
          </reference>
          <reference field="1" count="1" selected="0">
            <x v="46"/>
          </reference>
        </references>
      </pivotArea>
    </format>
    <format dxfId="58">
      <pivotArea dataOnly="0" labelOnly="1" outline="0" fieldPosition="0">
        <references count="2">
          <reference field="0" count="1">
            <x v="10"/>
          </reference>
          <reference field="1" count="1" selected="0">
            <x v="47"/>
          </reference>
        </references>
      </pivotArea>
    </format>
    <format dxfId="57">
      <pivotArea dataOnly="0" labelOnly="1" outline="0" fieldPosition="0">
        <references count="2">
          <reference field="0" count="1">
            <x v="61"/>
          </reference>
          <reference field="1" count="1" selected="0">
            <x v="48"/>
          </reference>
        </references>
      </pivotArea>
    </format>
    <format dxfId="56">
      <pivotArea dataOnly="0" labelOnly="1" outline="0" fieldPosition="0">
        <references count="2">
          <reference field="0" count="1">
            <x v="52"/>
          </reference>
          <reference field="1" count="1" selected="0">
            <x v="50"/>
          </reference>
        </references>
      </pivotArea>
    </format>
    <format dxfId="55">
      <pivotArea dataOnly="0" labelOnly="1" outline="0" fieldPosition="0">
        <references count="2">
          <reference field="0" count="1">
            <x v="55"/>
          </reference>
          <reference field="1" count="1" selected="0">
            <x v="51"/>
          </reference>
        </references>
      </pivotArea>
    </format>
    <format dxfId="54">
      <pivotArea dataOnly="0" labelOnly="1" outline="0" fieldPosition="0">
        <references count="2">
          <reference field="0" count="1">
            <x v="86"/>
          </reference>
          <reference field="1" count="1" selected="0">
            <x v="52"/>
          </reference>
        </references>
      </pivotArea>
    </format>
    <format dxfId="53">
      <pivotArea dataOnly="0" labelOnly="1" outline="0" fieldPosition="0">
        <references count="2">
          <reference field="0" count="1">
            <x v="54"/>
          </reference>
          <reference field="1" count="1" selected="0">
            <x v="53"/>
          </reference>
        </references>
      </pivotArea>
    </format>
    <format dxfId="52">
      <pivotArea dataOnly="0" labelOnly="1" outline="0" fieldPosition="0">
        <references count="2">
          <reference field="0" count="1">
            <x v="9"/>
          </reference>
          <reference field="1" count="1" selected="0">
            <x v="54"/>
          </reference>
        </references>
      </pivotArea>
    </format>
    <format dxfId="51">
      <pivotArea dataOnly="0" labelOnly="1" outline="0" fieldPosition="0">
        <references count="2">
          <reference field="0" count="1">
            <x v="18"/>
          </reference>
          <reference field="1" count="1" selected="0">
            <x v="57"/>
          </reference>
        </references>
      </pivotArea>
    </format>
    <format dxfId="50">
      <pivotArea dataOnly="0" labelOnly="1" outline="0" fieldPosition="0">
        <references count="2">
          <reference field="0" count="1">
            <x v="89"/>
          </reference>
          <reference field="1" count="1" selected="0">
            <x v="58"/>
          </reference>
        </references>
      </pivotArea>
    </format>
    <format dxfId="49">
      <pivotArea dataOnly="0" labelOnly="1" outline="0" fieldPosition="0">
        <references count="2">
          <reference field="0" count="1">
            <x v="53"/>
          </reference>
          <reference field="1" count="1" selected="0">
            <x v="60"/>
          </reference>
        </references>
      </pivotArea>
    </format>
    <format dxfId="48">
      <pivotArea dataOnly="0" labelOnly="1" outline="0" fieldPosition="0">
        <references count="2">
          <reference field="0" count="1">
            <x v="28"/>
          </reference>
          <reference field="1" count="1" selected="0">
            <x v="63"/>
          </reference>
        </references>
      </pivotArea>
    </format>
    <format dxfId="47">
      <pivotArea dataOnly="0" labelOnly="1" outline="0" fieldPosition="0">
        <references count="2">
          <reference field="0" count="1">
            <x v="90"/>
          </reference>
          <reference field="1" count="1" selected="0">
            <x v="64"/>
          </reference>
        </references>
      </pivotArea>
    </format>
    <format dxfId="46">
      <pivotArea dataOnly="0" labelOnly="1" outline="0" fieldPosition="0">
        <references count="2">
          <reference field="0" count="1">
            <x v="64"/>
          </reference>
          <reference field="1" count="1" selected="0">
            <x v="72"/>
          </reference>
        </references>
      </pivotArea>
    </format>
    <format dxfId="45">
      <pivotArea dataOnly="0" labelOnly="1" outline="0" fieldPosition="0">
        <references count="2">
          <reference field="0" count="1">
            <x v="56"/>
          </reference>
          <reference field="1" count="1" selected="0">
            <x v="74"/>
          </reference>
        </references>
      </pivotArea>
    </format>
    <format dxfId="44">
      <pivotArea dataOnly="0" labelOnly="1" outline="0" fieldPosition="0">
        <references count="2">
          <reference field="0" count="1">
            <x v="44"/>
          </reference>
          <reference field="1" count="1" selected="0">
            <x v="79"/>
          </reference>
        </references>
      </pivotArea>
    </format>
    <format dxfId="43">
      <pivotArea dataOnly="0" labelOnly="1" outline="0" fieldPosition="0">
        <references count="2">
          <reference field="0" count="1">
            <x v="60"/>
          </reference>
          <reference field="1" count="1" selected="0">
            <x v="83"/>
          </reference>
        </references>
      </pivotArea>
    </format>
    <format dxfId="42">
      <pivotArea dataOnly="0" labelOnly="1" outline="0" fieldPosition="0">
        <references count="2">
          <reference field="0" count="1">
            <x v="59"/>
          </reference>
          <reference field="1" count="1" selected="0">
            <x v="84"/>
          </reference>
        </references>
      </pivotArea>
    </format>
    <format dxfId="41">
      <pivotArea dataOnly="0" labelOnly="1" outline="0" fieldPosition="0">
        <references count="2">
          <reference field="0" count="1">
            <x v="92"/>
          </reference>
          <reference field="1" count="1" selected="0">
            <x v="87"/>
          </reference>
        </references>
      </pivotArea>
    </format>
    <format dxfId="40">
      <pivotArea field="10" type="button" dataOnly="0" labelOnly="1" outline="0" axis="axisPage" fieldPosition="0"/>
    </format>
    <format dxfId="39">
      <pivotArea field="1" type="button" dataOnly="0" labelOnly="1" outline="0" axis="axisRow" fieldPosition="1"/>
    </format>
    <format dxfId="38">
      <pivotArea field="0" type="button" dataOnly="0" labelOnly="1" outline="0" axis="axisRow" fieldPosition="0"/>
    </format>
    <format dxfId="37">
      <pivotArea field="4" type="button" dataOnly="0" labelOnly="1" outline="0" axis="axisPage" fieldPosition="1"/>
    </format>
    <format dxfId="36">
      <pivotArea field="10" type="button" dataOnly="0" labelOnly="1" outline="0" axis="axisPage" fieldPosition="0"/>
    </format>
    <format dxfId="35">
      <pivotArea field="11" type="button" dataOnly="0" labelOnly="1" outline="0" axis="axisRow" fieldPosition="3"/>
    </format>
    <format dxfId="34">
      <pivotArea field="4" type="button" dataOnly="0" labelOnly="1" outline="0" axis="axisPage" fieldPosition="1"/>
    </format>
    <format dxfId="33">
      <pivotArea dataOnly="0" labelOnly="1" outline="0" fieldPosition="0">
        <references count="3">
          <reference field="0" count="1" selected="0">
            <x v="45"/>
          </reference>
          <reference field="1" count="1" selected="0">
            <x v="1"/>
          </reference>
          <reference field="4" count="1">
            <x v="1"/>
          </reference>
        </references>
      </pivotArea>
    </format>
    <format dxfId="32">
      <pivotArea dataOnly="0" labelOnly="1" outline="0" fieldPosition="0">
        <references count="3">
          <reference field="0" count="1" selected="0">
            <x v="84"/>
          </reference>
          <reference field="1" count="1" selected="0">
            <x v="8"/>
          </reference>
          <reference field="4" count="1">
            <x v="13"/>
          </reference>
        </references>
      </pivotArea>
    </format>
    <format dxfId="31">
      <pivotArea dataOnly="0" labelOnly="1" outline="0" fieldPosition="0">
        <references count="3">
          <reference field="0" count="1" selected="0">
            <x v="22"/>
          </reference>
          <reference field="1" count="1" selected="0">
            <x v="21"/>
          </reference>
          <reference field="4" count="1">
            <x v="0"/>
          </reference>
        </references>
      </pivotArea>
    </format>
    <format dxfId="30">
      <pivotArea dataOnly="0" labelOnly="1" outline="0" fieldPosition="0">
        <references count="3">
          <reference field="0" count="1" selected="0">
            <x v="34"/>
          </reference>
          <reference field="1" count="1" selected="0">
            <x v="22"/>
          </reference>
          <reference field="4" count="1">
            <x v="5"/>
          </reference>
        </references>
      </pivotArea>
    </format>
    <format dxfId="29">
      <pivotArea dataOnly="0" labelOnly="1" outline="0" fieldPosition="0">
        <references count="3">
          <reference field="0" count="1" selected="0">
            <x v="21"/>
          </reference>
          <reference field="1" count="1" selected="0">
            <x v="23"/>
          </reference>
          <reference field="4" count="1">
            <x v="11"/>
          </reference>
        </references>
      </pivotArea>
    </format>
    <format dxfId="28">
      <pivotArea dataOnly="0" labelOnly="1" outline="0" fieldPosition="0">
        <references count="3">
          <reference field="0" count="1" selected="0">
            <x v="0"/>
          </reference>
          <reference field="1" count="1" selected="0">
            <x v="27"/>
          </reference>
          <reference field="4" count="1">
            <x v="13"/>
          </reference>
        </references>
      </pivotArea>
    </format>
    <format dxfId="27">
      <pivotArea dataOnly="0" labelOnly="1" outline="0" fieldPosition="0">
        <references count="3">
          <reference field="0" count="1" selected="0">
            <x v="5"/>
          </reference>
          <reference field="1" count="1" selected="0">
            <x v="28"/>
          </reference>
          <reference field="4" count="1">
            <x v="2"/>
          </reference>
        </references>
      </pivotArea>
    </format>
    <format dxfId="26">
      <pivotArea dataOnly="0" labelOnly="1" outline="0" fieldPosition="0">
        <references count="3">
          <reference field="0" count="1" selected="0">
            <x v="26"/>
          </reference>
          <reference field="1" count="1" selected="0">
            <x v="30"/>
          </reference>
          <reference field="4" count="1">
            <x v="13"/>
          </reference>
        </references>
      </pivotArea>
    </format>
    <format dxfId="25">
      <pivotArea dataOnly="0" labelOnly="1" outline="0" fieldPosition="0">
        <references count="3">
          <reference field="0" count="1" selected="0">
            <x v="43"/>
          </reference>
          <reference field="1" count="1" selected="0">
            <x v="32"/>
          </reference>
          <reference field="4" count="1">
            <x v="1"/>
          </reference>
        </references>
      </pivotArea>
    </format>
    <format dxfId="24">
      <pivotArea dataOnly="0" labelOnly="1" outline="0" fieldPosition="0">
        <references count="3">
          <reference field="0" count="1" selected="0">
            <x v="2"/>
          </reference>
          <reference field="1" count="1" selected="0">
            <x v="34"/>
          </reference>
          <reference field="4" count="1">
            <x v="2"/>
          </reference>
        </references>
      </pivotArea>
    </format>
    <format dxfId="23">
      <pivotArea dataOnly="0" labelOnly="1" outline="0" fieldPosition="0">
        <references count="3">
          <reference field="0" count="1" selected="0">
            <x v="17"/>
          </reference>
          <reference field="1" count="1" selected="0">
            <x v="36"/>
          </reference>
          <reference field="4" count="1">
            <x v="9"/>
          </reference>
        </references>
      </pivotArea>
    </format>
    <format dxfId="22">
      <pivotArea dataOnly="0" labelOnly="1" outline="0" fieldPosition="0">
        <references count="3">
          <reference field="0" count="1" selected="0">
            <x v="27"/>
          </reference>
          <reference field="1" count="1" selected="0">
            <x v="39"/>
          </reference>
          <reference field="4" count="1">
            <x v="13"/>
          </reference>
        </references>
      </pivotArea>
    </format>
    <format dxfId="21">
      <pivotArea dataOnly="0" labelOnly="1" outline="0" fieldPosition="0">
        <references count="3">
          <reference field="0" count="1" selected="0">
            <x v="23"/>
          </reference>
          <reference field="1" count="1" selected="0">
            <x v="42"/>
          </reference>
          <reference field="4" count="1">
            <x v="6"/>
          </reference>
        </references>
      </pivotArea>
    </format>
    <format dxfId="20">
      <pivotArea dataOnly="0" labelOnly="1" outline="0" fieldPosition="0">
        <references count="3">
          <reference field="0" count="1" selected="0">
            <x v="7"/>
          </reference>
          <reference field="1" count="1" selected="0">
            <x v="44"/>
          </reference>
          <reference field="4" count="1">
            <x v="13"/>
          </reference>
        </references>
      </pivotArea>
    </format>
    <format dxfId="19">
      <pivotArea dataOnly="0" labelOnly="1" outline="0" fieldPosition="0">
        <references count="3">
          <reference field="0" count="1" selected="0">
            <x v="10"/>
          </reference>
          <reference field="1" count="1" selected="0">
            <x v="47"/>
          </reference>
          <reference field="4" count="1">
            <x v="2"/>
          </reference>
        </references>
      </pivotArea>
    </format>
    <format dxfId="18">
      <pivotArea dataOnly="0" labelOnly="1" outline="0" fieldPosition="0">
        <references count="3">
          <reference field="0" count="1" selected="0">
            <x v="61"/>
          </reference>
          <reference field="1" count="1" selected="0">
            <x v="48"/>
          </reference>
          <reference field="4" count="1">
            <x v="10"/>
          </reference>
        </references>
      </pivotArea>
    </format>
    <format dxfId="17">
      <pivotArea dataOnly="0" labelOnly="1" outline="0" fieldPosition="0">
        <references count="3">
          <reference field="0" count="1" selected="0">
            <x v="52"/>
          </reference>
          <reference field="1" count="1" selected="0">
            <x v="50"/>
          </reference>
          <reference field="4" count="1">
            <x v="8"/>
          </reference>
        </references>
      </pivotArea>
    </format>
    <format dxfId="16">
      <pivotArea dataOnly="0" labelOnly="1" outline="0" fieldPosition="0">
        <references count="3">
          <reference field="0" count="1" selected="0">
            <x v="86"/>
          </reference>
          <reference field="1" count="1" selected="0">
            <x v="52"/>
          </reference>
          <reference field="4" count="1">
            <x v="12"/>
          </reference>
        </references>
      </pivotArea>
    </format>
    <format dxfId="15">
      <pivotArea dataOnly="0" labelOnly="1" outline="0" fieldPosition="0">
        <references count="3">
          <reference field="0" count="1" selected="0">
            <x v="54"/>
          </reference>
          <reference field="1" count="1" selected="0">
            <x v="53"/>
          </reference>
          <reference field="4" count="1">
            <x v="8"/>
          </reference>
        </references>
      </pivotArea>
    </format>
    <format dxfId="14">
      <pivotArea dataOnly="0" labelOnly="1" outline="0" fieldPosition="0">
        <references count="3">
          <reference field="0" count="1" selected="0">
            <x v="9"/>
          </reference>
          <reference field="1" count="1" selected="0">
            <x v="54"/>
          </reference>
          <reference field="4" count="1">
            <x v="11"/>
          </reference>
        </references>
      </pivotArea>
    </format>
    <format dxfId="13">
      <pivotArea dataOnly="0" labelOnly="1" outline="0" fieldPosition="0">
        <references count="3">
          <reference field="0" count="1" selected="0">
            <x v="18"/>
          </reference>
          <reference field="1" count="1" selected="0">
            <x v="57"/>
          </reference>
          <reference field="4" count="1">
            <x v="9"/>
          </reference>
        </references>
      </pivotArea>
    </format>
    <format dxfId="12">
      <pivotArea dataOnly="0" labelOnly="1" outline="0" fieldPosition="0">
        <references count="3">
          <reference field="0" count="1" selected="0">
            <x v="89"/>
          </reference>
          <reference field="1" count="1" selected="0">
            <x v="58"/>
          </reference>
          <reference field="4" count="1">
            <x v="13"/>
          </reference>
        </references>
      </pivotArea>
    </format>
    <format dxfId="11">
      <pivotArea dataOnly="0" labelOnly="1" outline="0" fieldPosition="0">
        <references count="3">
          <reference field="0" count="1" selected="0">
            <x v="53"/>
          </reference>
          <reference field="1" count="1" selected="0">
            <x v="60"/>
          </reference>
          <reference field="4" count="1">
            <x v="8"/>
          </reference>
        </references>
      </pivotArea>
    </format>
    <format dxfId="10">
      <pivotArea dataOnly="0" labelOnly="1" outline="0" fieldPosition="0">
        <references count="3">
          <reference field="0" count="1" selected="0">
            <x v="28"/>
          </reference>
          <reference field="1" count="1" selected="0">
            <x v="63"/>
          </reference>
          <reference field="4" count="1">
            <x v="3"/>
          </reference>
        </references>
      </pivotArea>
    </format>
    <format dxfId="9">
      <pivotArea dataOnly="0" labelOnly="1" outline="0" fieldPosition="0">
        <references count="3">
          <reference field="0" count="1" selected="0">
            <x v="90"/>
          </reference>
          <reference field="1" count="1" selected="0">
            <x v="64"/>
          </reference>
          <reference field="4" count="1">
            <x v="13"/>
          </reference>
        </references>
      </pivotArea>
    </format>
    <format dxfId="8">
      <pivotArea dataOnly="0" labelOnly="1" outline="0" fieldPosition="0">
        <references count="3">
          <reference field="0" count="1" selected="0">
            <x v="64"/>
          </reference>
          <reference field="1" count="1" selected="0">
            <x v="72"/>
          </reference>
          <reference field="4" count="1">
            <x v="7"/>
          </reference>
        </references>
      </pivotArea>
    </format>
    <format dxfId="7">
      <pivotArea dataOnly="0" labelOnly="1" outline="0" fieldPosition="0">
        <references count="3">
          <reference field="0" count="1" selected="0">
            <x v="56"/>
          </reference>
          <reference field="1" count="1" selected="0">
            <x v="74"/>
          </reference>
          <reference field="4" count="1">
            <x v="13"/>
          </reference>
        </references>
      </pivotArea>
    </format>
    <format dxfId="6">
      <pivotArea dataOnly="0" labelOnly="1" outline="0" fieldPosition="0">
        <references count="3">
          <reference field="0" count="1" selected="0">
            <x v="44"/>
          </reference>
          <reference field="1" count="1" selected="0">
            <x v="79"/>
          </reference>
          <reference field="4" count="1">
            <x v="1"/>
          </reference>
        </references>
      </pivotArea>
    </format>
    <format dxfId="5">
      <pivotArea dataOnly="0" labelOnly="1" outline="0" fieldPosition="0">
        <references count="3">
          <reference field="0" count="1" selected="0">
            <x v="60"/>
          </reference>
          <reference field="1" count="1" selected="0">
            <x v="83"/>
          </reference>
          <reference field="4" count="1">
            <x v="4"/>
          </reference>
        </references>
      </pivotArea>
    </format>
    <format dxfId="4">
      <pivotArea dataOnly="0" labelOnly="1" outline="0" fieldPosition="0">
        <references count="3">
          <reference field="0" count="1" selected="0">
            <x v="59"/>
          </reference>
          <reference field="1" count="1" selected="0">
            <x v="84"/>
          </reference>
          <reference field="4" count="1">
            <x v="14"/>
          </reference>
        </references>
      </pivotArea>
    </format>
    <format dxfId="3">
      <pivotArea dataOnly="0" labelOnly="1" outline="0" fieldPosition="0">
        <references count="3">
          <reference field="0" count="1" selected="0">
            <x v="92"/>
          </reference>
          <reference field="1" count="1" selected="0">
            <x v="87"/>
          </reference>
          <reference field="4" count="8">
            <x v="1"/>
            <x v="2"/>
            <x v="3"/>
            <x v="5"/>
            <x v="6"/>
            <x v="9"/>
            <x v="12"/>
            <x v="13"/>
          </reference>
        </references>
      </pivotArea>
    </format>
    <format dxfId="2">
      <pivotArea field="10" type="button" dataOnly="0" labelOnly="1" outline="0" axis="axisPage" fieldPosition="0"/>
    </format>
    <format dxfId="1">
      <pivotArea dataOnly="0" labelOnly="1" outline="0" fieldPosition="0">
        <references count="1">
          <reference field="4"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16DC32-9044-4200-BEC6-CC3E93E627D6}" name="Tableau13" displayName="Tableau13" ref="A1:G93" totalsRowShown="0" headerRowDxfId="281" headerRowBorderDxfId="280" tableBorderDxfId="279" totalsRowBorderDxfId="278">
  <autoFilter ref="A1:G93" xr:uid="{A96DD4D3-53C2-4145-BB42-064DB6ABF5F9}"/>
  <tableColumns count="7">
    <tableColumn id="1" xr3:uid="{6A9300C9-9D8B-40D8-ADF6-2F020C0E4EFC}" name="Chapter No _x000a_(RMF Browser)" dataDxfId="277"/>
    <tableColumn id="2" xr3:uid="{555B63FB-129B-4621-8008-774458495670}" name="Chapter/Filename_x000a_RMF Chasseneuil" dataDxfId="276"/>
    <tableColumn id="3" xr3:uid="{EEC86907-4D83-4A15-BBCD-B1E31A2029C5}" name="doc" dataDxfId="275"/>
    <tableColumn id="4" xr3:uid="{9E28F873-5F65-427D-A51E-CFD824B164E3}" name="exluded" dataDxfId="274"/>
    <tableColumn id="5" xr3:uid="{37166F6F-848B-4597-A42E-9A0F1DDF3CA1}" name="Include in document &amp; recommandations"/>
    <tableColumn id="6" xr3:uid="{D112EF45-D37D-4EF2-B832-332355250346}" name="Do not include"/>
    <tableColumn id="7" xr3:uid="{A80D791B-04EA-4D54-8FDE-335F35569DF4}" name="NC à adresser"/>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DD4D3-53C2-4145-BB42-064DB6ABF5F9}" name="Tableau1" displayName="Tableau1" ref="A1:U128" totalsRowShown="0" headerRowDxfId="273" headerRowBorderDxfId="272" tableBorderDxfId="271" totalsRowBorderDxfId="270">
  <autoFilter ref="A1:U128" xr:uid="{A96DD4D3-53C2-4145-BB42-064DB6ABF5F9}"/>
  <tableColumns count="21">
    <tableColumn id="1" xr3:uid="{6409A3E1-9537-4E12-AC6F-0A2668C46CFA}" name="Chapter No _x000a_(RMF Browser)" dataDxfId="269"/>
    <tableColumn id="21" xr3:uid="{670C2ED0-8AB1-47C2-A9E6-0A5113FF428E}" name="audit scope" dataDxfId="268"/>
    <tableColumn id="2" xr3:uid="{584F7C0B-F9E5-4A98-9984-23D7DECFB7BD}" name="Chapter/Filename_x000a_RMF Chasseneuil" dataDxfId="267"/>
    <tableColumn id="18" xr3:uid="{130EA616-660B-487F-9422-8C8FB68D0B45}" name="Colonne3" dataDxfId="266"/>
    <tableColumn id="3" xr3:uid="{5A676E77-AC60-4F0C-9BB5-CAC925CF25AE}" name=" Annex N°" dataDxfId="265"/>
    <tableColumn id="4" xr3:uid="{73EEBCEE-F75B-42C5-8F50-ED343CE47A9B}" name="Document title" dataDxfId="264"/>
    <tableColumn id="5" xr3:uid="{E298F7CE-2ABF-46FB-90A3-BC887A041916}" name="Responsable" dataDxfId="263"/>
    <tableColumn id="14" xr3:uid="{D5374483-C11E-4CB8-A2B1-6C0C8D84140A}" name="Qui ?" dataDxfId="262"/>
    <tableColumn id="6" xr3:uid="{942286A6-E1F6-43B3-8ADD-A9D20773F210}" name="Nombre de documents" dataDxfId="261"/>
    <tableColumn id="7" xr3:uid="{005E1EDB-BD46-478C-B91D-96E91E80F9A3}" name="Non" dataDxfId="260"/>
    <tableColumn id="8" xr3:uid="{380F3191-005B-4509-AF1F-BFB6D5F23760}" name="Colonne1" dataDxfId="259"/>
    <tableColumn id="9" xr3:uid="{2473AF3E-64FA-4645-9999-688FBF5C6C2F}" name="Colonne2" dataDxfId="258"/>
    <tableColumn id="10" xr3:uid="{EB4DDC5C-9D65-4D0B-9343-39EEAC934C24}" name="Responsable formé_x000a_O/N" dataDxfId="257"/>
    <tableColumn id="11" xr3:uid="{571F70D4-2068-4302-98F6-5C927947F437}" name="Commentaire" dataDxfId="256"/>
    <tableColumn id="12" xr3:uid="{4E07C170-979C-4FE6-A67E-71CA309E010B}" name="Doc IMS" dataDxfId="255"/>
    <tableColumn id="13" xr3:uid="{8252CCA4-2DF4-4FC1-96B7-D20B5D1709F4}" name="Formulaire" dataDxfId="254"/>
    <tableColumn id="15" xr3:uid="{F0C160E9-5DC8-44FF-BE93-7909266F81E3}" name="Dans B.DoCS ?_x000a_O/N" dataDxfId="253"/>
    <tableColumn id="16" xr3:uid="{4410B155-E311-46E6-95E5-8ACFD068B1DE}" name="Si O :_x000a_A Finaliser_x000a_X" dataDxfId="252"/>
    <tableColumn id="17" xr3:uid="{E534037A-D2AE-44BB-ACBE-66493C5249CF}" name="Si O :_x000a_Effectif + Natif ok " dataDxfId="251"/>
    <tableColumn id="19" xr3:uid="{A11256ED-D89B-4EFA-9949-49E7E3A6EE80}" name="Onglet S2-RMF Structure O/N ?" dataDxfId="250"/>
    <tableColumn id="20" xr3:uid="{0FCE76C3-18BF-4C69-BA89-05B20FF3ED3D}" name="Doc associé à S2-RMF ? O/N" dataDxfId="249"/>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BF8099-36DC-4D40-BC80-8203348EB27E}" name="Table3" displayName="Table3" ref="C1:D103" totalsRowShown="0">
  <autoFilter ref="C1:D103" xr:uid="{1DBF8099-36DC-4D40-BC80-8203348EB27E}"/>
  <tableColumns count="2">
    <tableColumn id="1" xr3:uid="{358158D0-F6F1-48F8-9127-868D4AE0FA1B}" name="Analytical Classification Key" dataDxfId="248"/>
    <tableColumn id="2" xr3:uid="{1AB31184-9CBA-458A-8B75-98356A6A40FE}" name="Item" dataDxfId="247"/>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08D4-BE41-4B73-99B8-EF336B4C49CD}">
  <sheetPr>
    <pageSetUpPr fitToPage="1"/>
  </sheetPr>
  <dimension ref="A1:G93"/>
  <sheetViews>
    <sheetView workbookViewId="0">
      <pane ySplit="1" topLeftCell="A60" activePane="bottomLeft" state="frozen"/>
      <selection pane="bottomLeft" activeCell="D2" sqref="D2:D93"/>
    </sheetView>
  </sheetViews>
  <sheetFormatPr defaultColWidth="11.453125" defaultRowHeight="14.5" x14ac:dyDescent="0.35"/>
  <cols>
    <col min="1" max="1" width="14.54296875" customWidth="1"/>
    <col min="2" max="2" width="56.36328125" style="5" customWidth="1"/>
    <col min="3" max="3" width="6.6328125" style="11" customWidth="1"/>
    <col min="4" max="4" width="8.36328125" style="11" customWidth="1"/>
    <col min="5" max="5" width="41.1796875" customWidth="1"/>
    <col min="6" max="6" width="38.08984375" customWidth="1"/>
    <col min="7" max="7" width="34.08984375" customWidth="1"/>
  </cols>
  <sheetData>
    <row r="1" spans="1:7" ht="29" x14ac:dyDescent="0.35">
      <c r="A1" s="50" t="s">
        <v>0</v>
      </c>
      <c r="B1" s="51" t="s">
        <v>1</v>
      </c>
      <c r="C1" s="95" t="s">
        <v>557</v>
      </c>
      <c r="D1" s="95" t="s">
        <v>558</v>
      </c>
      <c r="E1" s="95" t="s">
        <v>562</v>
      </c>
      <c r="F1" s="95" t="s">
        <v>559</v>
      </c>
      <c r="G1" s="95" t="s">
        <v>573</v>
      </c>
    </row>
    <row r="2" spans="1:7" x14ac:dyDescent="0.35">
      <c r="A2" s="12" t="s">
        <v>19</v>
      </c>
      <c r="B2" s="59" t="s">
        <v>20</v>
      </c>
      <c r="C2"/>
    </row>
    <row r="3" spans="1:7" x14ac:dyDescent="0.35">
      <c r="A3" s="13" t="s">
        <v>27</v>
      </c>
      <c r="B3" s="29" t="s">
        <v>28</v>
      </c>
      <c r="C3"/>
    </row>
    <row r="4" spans="1:7" x14ac:dyDescent="0.35">
      <c r="A4" s="14" t="s">
        <v>29</v>
      </c>
      <c r="B4" s="29" t="s">
        <v>30</v>
      </c>
      <c r="C4" s="96">
        <v>1</v>
      </c>
    </row>
    <row r="5" spans="1:7" x14ac:dyDescent="0.35">
      <c r="A5" s="14" t="s">
        <v>39</v>
      </c>
      <c r="B5" s="29" t="s">
        <v>40</v>
      </c>
      <c r="C5" s="96">
        <v>1</v>
      </c>
    </row>
    <row r="6" spans="1:7" x14ac:dyDescent="0.35">
      <c r="A6" s="14" t="s">
        <v>41</v>
      </c>
      <c r="B6" s="29" t="s">
        <v>42</v>
      </c>
      <c r="C6" s="11">
        <v>1</v>
      </c>
      <c r="E6" t="s">
        <v>612</v>
      </c>
    </row>
    <row r="7" spans="1:7" x14ac:dyDescent="0.35">
      <c r="A7" s="14" t="s">
        <v>43</v>
      </c>
      <c r="B7" s="29" t="s">
        <v>44</v>
      </c>
      <c r="C7" s="11">
        <v>1</v>
      </c>
      <c r="E7" t="s">
        <v>613</v>
      </c>
    </row>
    <row r="8" spans="1:7" x14ac:dyDescent="0.35">
      <c r="A8" s="14" t="s">
        <v>51</v>
      </c>
      <c r="B8" s="29" t="s">
        <v>52</v>
      </c>
      <c r="C8" s="11">
        <v>1</v>
      </c>
      <c r="E8" s="94" t="s">
        <v>614</v>
      </c>
    </row>
    <row r="9" spans="1:7" x14ac:dyDescent="0.35">
      <c r="A9" s="14" t="s">
        <v>60</v>
      </c>
      <c r="B9" s="29" t="s">
        <v>61</v>
      </c>
      <c r="C9" s="11">
        <v>1</v>
      </c>
    </row>
    <row r="10" spans="1:7" x14ac:dyDescent="0.35">
      <c r="A10" s="13" t="s">
        <v>70</v>
      </c>
      <c r="B10" s="29" t="s">
        <v>71</v>
      </c>
      <c r="C10"/>
    </row>
    <row r="11" spans="1:7" x14ac:dyDescent="0.35">
      <c r="A11" s="14" t="s">
        <v>72</v>
      </c>
      <c r="B11" s="29" t="s">
        <v>73</v>
      </c>
      <c r="C11" s="11">
        <v>1</v>
      </c>
    </row>
    <row r="12" spans="1:7" x14ac:dyDescent="0.35">
      <c r="A12" s="14" t="s">
        <v>84</v>
      </c>
      <c r="B12" s="29" t="s">
        <v>85</v>
      </c>
      <c r="C12" s="11">
        <v>1</v>
      </c>
    </row>
    <row r="13" spans="1:7" x14ac:dyDescent="0.35">
      <c r="A13" s="14" t="s">
        <v>89</v>
      </c>
      <c r="B13" s="29" t="s">
        <v>90</v>
      </c>
      <c r="C13" s="11">
        <v>1</v>
      </c>
    </row>
    <row r="14" spans="1:7" x14ac:dyDescent="0.35">
      <c r="A14" s="13" t="s">
        <v>91</v>
      </c>
      <c r="B14" s="29" t="s">
        <v>92</v>
      </c>
      <c r="C14"/>
    </row>
    <row r="15" spans="1:7" x14ac:dyDescent="0.35">
      <c r="A15" s="14" t="s">
        <v>93</v>
      </c>
      <c r="B15" s="29" t="s">
        <v>94</v>
      </c>
      <c r="C15" s="11">
        <v>1</v>
      </c>
      <c r="E15" s="94" t="s">
        <v>560</v>
      </c>
      <c r="F15" s="94" t="s">
        <v>561</v>
      </c>
    </row>
    <row r="16" spans="1:7" x14ac:dyDescent="0.35">
      <c r="A16" s="14" t="s">
        <v>95</v>
      </c>
      <c r="B16" s="29" t="s">
        <v>96</v>
      </c>
      <c r="C16" s="11">
        <v>1</v>
      </c>
      <c r="E16" s="94" t="s">
        <v>564</v>
      </c>
      <c r="F16" s="94" t="s">
        <v>563</v>
      </c>
    </row>
    <row r="17" spans="1:7" x14ac:dyDescent="0.35">
      <c r="A17" s="12" t="s">
        <v>97</v>
      </c>
      <c r="B17" s="59" t="s">
        <v>98</v>
      </c>
      <c r="C17"/>
    </row>
    <row r="18" spans="1:7" x14ac:dyDescent="0.35">
      <c r="A18" s="13" t="s">
        <v>99</v>
      </c>
      <c r="B18" s="29" t="s">
        <v>100</v>
      </c>
      <c r="C18" s="11">
        <v>1</v>
      </c>
    </row>
    <row r="19" spans="1:7" x14ac:dyDescent="0.35">
      <c r="A19" s="13" t="s">
        <v>108</v>
      </c>
      <c r="B19" s="29" t="s">
        <v>109</v>
      </c>
      <c r="C19" s="11">
        <v>1</v>
      </c>
      <c r="E19" s="94" t="s">
        <v>565</v>
      </c>
    </row>
    <row r="20" spans="1:7" x14ac:dyDescent="0.35">
      <c r="A20" s="13" t="s">
        <v>118</v>
      </c>
      <c r="B20" s="29" t="s">
        <v>119</v>
      </c>
      <c r="C20" s="11">
        <v>1</v>
      </c>
      <c r="E20" s="94" t="s">
        <v>566</v>
      </c>
    </row>
    <row r="21" spans="1:7" x14ac:dyDescent="0.35">
      <c r="A21" s="13" t="s">
        <v>123</v>
      </c>
      <c r="B21" s="29" t="s">
        <v>124</v>
      </c>
      <c r="C21" s="11">
        <v>1</v>
      </c>
      <c r="D21" s="11">
        <v>1</v>
      </c>
    </row>
    <row r="22" spans="1:7" s="128" customFormat="1" x14ac:dyDescent="0.35">
      <c r="A22" s="124" t="s">
        <v>125</v>
      </c>
      <c r="B22" s="125" t="s">
        <v>126</v>
      </c>
      <c r="C22" s="126"/>
      <c r="D22" s="127"/>
      <c r="E22" s="126"/>
      <c r="F22" s="126"/>
      <c r="G22" s="126"/>
    </row>
    <row r="23" spans="1:7" s="46" customFormat="1" x14ac:dyDescent="0.35">
      <c r="A23" s="13" t="s">
        <v>127</v>
      </c>
      <c r="B23" s="29" t="s">
        <v>128</v>
      </c>
      <c r="C23" s="11">
        <v>1</v>
      </c>
      <c r="D23" s="11"/>
      <c r="E23"/>
      <c r="F23"/>
      <c r="G23"/>
    </row>
    <row r="24" spans="1:7" s="46" customFormat="1" x14ac:dyDescent="0.35">
      <c r="A24" s="13" t="s">
        <v>133</v>
      </c>
      <c r="B24" s="29" t="s">
        <v>134</v>
      </c>
      <c r="C24" s="11">
        <v>1</v>
      </c>
      <c r="D24" s="11"/>
      <c r="E24" s="94" t="s">
        <v>567</v>
      </c>
      <c r="F24"/>
      <c r="G24"/>
    </row>
    <row r="25" spans="1:7" s="46" customFormat="1" x14ac:dyDescent="0.35">
      <c r="A25" s="13" t="s">
        <v>140</v>
      </c>
      <c r="B25" s="29" t="s">
        <v>141</v>
      </c>
      <c r="C25" s="11">
        <v>1</v>
      </c>
      <c r="D25" s="11"/>
      <c r="E25" s="94" t="s">
        <v>583</v>
      </c>
      <c r="F25"/>
      <c r="G25"/>
    </row>
    <row r="26" spans="1:7" s="46" customFormat="1" x14ac:dyDescent="0.35">
      <c r="A26" s="13" t="s">
        <v>153</v>
      </c>
      <c r="B26" s="29" t="s">
        <v>154</v>
      </c>
      <c r="C26" s="11">
        <v>1</v>
      </c>
      <c r="D26" s="11"/>
      <c r="E26"/>
      <c r="F26"/>
      <c r="G26"/>
    </row>
    <row r="27" spans="1:7" s="46" customFormat="1" x14ac:dyDescent="0.35">
      <c r="A27" s="12" t="s">
        <v>155</v>
      </c>
      <c r="B27" s="59" t="s">
        <v>156</v>
      </c>
      <c r="C27"/>
      <c r="D27" s="11"/>
      <c r="E27"/>
      <c r="F27"/>
      <c r="G27"/>
    </row>
    <row r="28" spans="1:7" s="46" customFormat="1" x14ac:dyDescent="0.35">
      <c r="A28" s="13" t="s">
        <v>157</v>
      </c>
      <c r="B28" s="29" t="s">
        <v>158</v>
      </c>
      <c r="C28" s="11">
        <v>1</v>
      </c>
      <c r="D28" s="11"/>
      <c r="E28"/>
      <c r="F28"/>
      <c r="G28"/>
    </row>
    <row r="29" spans="1:7" s="46" customFormat="1" x14ac:dyDescent="0.35">
      <c r="A29" s="13" t="s">
        <v>162</v>
      </c>
      <c r="B29" s="29" t="s">
        <v>163</v>
      </c>
      <c r="C29" s="11">
        <v>1</v>
      </c>
      <c r="D29" s="11"/>
      <c r="E29" s="94" t="s">
        <v>574</v>
      </c>
      <c r="F29" s="94" t="s">
        <v>575</v>
      </c>
      <c r="G29"/>
    </row>
    <row r="30" spans="1:7" s="102" customFormat="1" x14ac:dyDescent="0.35">
      <c r="A30" s="98" t="s">
        <v>171</v>
      </c>
      <c r="B30" s="99" t="s">
        <v>172</v>
      </c>
      <c r="C30" s="100"/>
      <c r="D30" s="101"/>
      <c r="E30" s="100"/>
      <c r="F30" s="100"/>
      <c r="G30" s="100"/>
    </row>
    <row r="31" spans="1:7" s="46" customFormat="1" x14ac:dyDescent="0.35">
      <c r="A31" s="13" t="s">
        <v>183</v>
      </c>
      <c r="B31" s="97" t="s">
        <v>568</v>
      </c>
      <c r="C31" s="11">
        <v>1</v>
      </c>
      <c r="D31" s="11"/>
      <c r="E31" s="94" t="s">
        <v>576</v>
      </c>
      <c r="F31"/>
      <c r="G31"/>
    </row>
    <row r="32" spans="1:7" s="46" customFormat="1" x14ac:dyDescent="0.35">
      <c r="A32" s="13" t="s">
        <v>185</v>
      </c>
      <c r="B32" s="97" t="s">
        <v>569</v>
      </c>
      <c r="C32" s="11">
        <v>1</v>
      </c>
      <c r="D32" s="11"/>
      <c r="E32" s="94" t="s">
        <v>577</v>
      </c>
      <c r="F32"/>
      <c r="G32"/>
    </row>
    <row r="33" spans="1:7" s="46" customFormat="1" x14ac:dyDescent="0.35">
      <c r="A33" s="13" t="s">
        <v>187</v>
      </c>
      <c r="B33" s="97" t="s">
        <v>570</v>
      </c>
      <c r="C33" s="11">
        <v>1</v>
      </c>
      <c r="D33" s="11"/>
      <c r="E33" s="94" t="s">
        <v>578</v>
      </c>
      <c r="F33"/>
      <c r="G33"/>
    </row>
    <row r="34" spans="1:7" s="46" customFormat="1" x14ac:dyDescent="0.35">
      <c r="A34" s="12" t="s">
        <v>189</v>
      </c>
      <c r="B34" s="59" t="s">
        <v>190</v>
      </c>
      <c r="C34"/>
      <c r="D34" s="11"/>
      <c r="E34"/>
      <c r="F34"/>
      <c r="G34"/>
    </row>
    <row r="35" spans="1:7" s="46" customFormat="1" x14ac:dyDescent="0.35">
      <c r="A35" s="13" t="s">
        <v>191</v>
      </c>
      <c r="B35" s="29" t="s">
        <v>192</v>
      </c>
      <c r="C35"/>
      <c r="D35" s="11"/>
      <c r="E35"/>
      <c r="F35"/>
      <c r="G35"/>
    </row>
    <row r="36" spans="1:7" s="46" customFormat="1" x14ac:dyDescent="0.35">
      <c r="A36" s="14" t="s">
        <v>193</v>
      </c>
      <c r="B36" s="29" t="s">
        <v>194</v>
      </c>
      <c r="C36"/>
      <c r="D36" s="11"/>
      <c r="E36"/>
      <c r="F36"/>
      <c r="G36"/>
    </row>
    <row r="37" spans="1:7" s="46" customFormat="1" x14ac:dyDescent="0.35">
      <c r="A37" s="16" t="s">
        <v>212</v>
      </c>
      <c r="B37" s="29" t="s">
        <v>213</v>
      </c>
      <c r="C37" s="11">
        <v>1</v>
      </c>
      <c r="D37" s="11"/>
      <c r="E37" s="94" t="s">
        <v>579</v>
      </c>
      <c r="F37"/>
      <c r="G37"/>
    </row>
    <row r="38" spans="1:7" s="46" customFormat="1" x14ac:dyDescent="0.35">
      <c r="A38" s="16" t="s">
        <v>214</v>
      </c>
      <c r="B38" s="29" t="s">
        <v>215</v>
      </c>
      <c r="C38" s="11">
        <v>1</v>
      </c>
      <c r="D38" s="11"/>
      <c r="E38" s="94" t="s">
        <v>55</v>
      </c>
      <c r="F38"/>
      <c r="G38"/>
    </row>
    <row r="39" spans="1:7" s="46" customFormat="1" x14ac:dyDescent="0.35">
      <c r="A39" s="16" t="s">
        <v>216</v>
      </c>
      <c r="B39" s="29" t="s">
        <v>217</v>
      </c>
      <c r="C39" s="11">
        <v>1</v>
      </c>
      <c r="D39" s="11"/>
      <c r="E39" s="94" t="s">
        <v>580</v>
      </c>
      <c r="F39"/>
      <c r="G39"/>
    </row>
    <row r="40" spans="1:7" s="46" customFormat="1" x14ac:dyDescent="0.35">
      <c r="A40" s="16" t="s">
        <v>218</v>
      </c>
      <c r="B40" s="29" t="s">
        <v>219</v>
      </c>
      <c r="C40" s="11">
        <v>1</v>
      </c>
      <c r="D40" s="11"/>
      <c r="E40"/>
      <c r="F40"/>
      <c r="G40"/>
    </row>
    <row r="41" spans="1:7" s="46" customFormat="1" x14ac:dyDescent="0.35">
      <c r="A41" s="16" t="s">
        <v>220</v>
      </c>
      <c r="B41" s="29" t="s">
        <v>221</v>
      </c>
      <c r="C41" s="11">
        <v>1</v>
      </c>
      <c r="D41" s="11"/>
      <c r="E41"/>
      <c r="F41"/>
      <c r="G41"/>
    </row>
    <row r="42" spans="1:7" s="46" customFormat="1" x14ac:dyDescent="0.35">
      <c r="A42" s="16" t="s">
        <v>222</v>
      </c>
      <c r="B42" s="29" t="s">
        <v>223</v>
      </c>
      <c r="C42" s="11">
        <v>1</v>
      </c>
      <c r="D42" s="11"/>
      <c r="E42"/>
      <c r="F42"/>
      <c r="G42"/>
    </row>
    <row r="43" spans="1:7" s="46" customFormat="1" x14ac:dyDescent="0.35">
      <c r="A43" s="16" t="s">
        <v>224</v>
      </c>
      <c r="B43" s="29" t="s">
        <v>225</v>
      </c>
      <c r="C43" s="11">
        <v>1</v>
      </c>
      <c r="D43" s="11"/>
      <c r="E43"/>
      <c r="F43"/>
      <c r="G43"/>
    </row>
    <row r="44" spans="1:7" s="133" customFormat="1" x14ac:dyDescent="0.35">
      <c r="A44" s="129" t="s">
        <v>226</v>
      </c>
      <c r="B44" s="130" t="s">
        <v>227</v>
      </c>
      <c r="C44" s="131"/>
      <c r="D44" s="132"/>
      <c r="E44" s="131"/>
      <c r="F44" s="131"/>
      <c r="G44" s="131"/>
    </row>
    <row r="45" spans="1:7" s="46" customFormat="1" x14ac:dyDescent="0.35">
      <c r="A45" s="16" t="s">
        <v>228</v>
      </c>
      <c r="B45" s="29" t="s">
        <v>229</v>
      </c>
      <c r="C45" s="11">
        <v>1</v>
      </c>
      <c r="D45" s="11"/>
      <c r="E45" s="94" t="s">
        <v>581</v>
      </c>
      <c r="F45"/>
      <c r="G45"/>
    </row>
    <row r="46" spans="1:7" s="46" customFormat="1" x14ac:dyDescent="0.35">
      <c r="A46" s="16" t="s">
        <v>238</v>
      </c>
      <c r="B46" s="29" t="s">
        <v>225</v>
      </c>
      <c r="C46" s="11">
        <v>1</v>
      </c>
      <c r="D46" s="11"/>
      <c r="E46"/>
      <c r="F46"/>
      <c r="G46"/>
    </row>
    <row r="47" spans="1:7" s="46" customFormat="1" x14ac:dyDescent="0.35">
      <c r="A47" s="16" t="s">
        <v>241</v>
      </c>
      <c r="B47" s="29" t="s">
        <v>242</v>
      </c>
      <c r="C47" s="11">
        <v>1</v>
      </c>
      <c r="D47" s="11"/>
      <c r="E47" s="94" t="s">
        <v>582</v>
      </c>
      <c r="F47"/>
      <c r="G47"/>
    </row>
    <row r="48" spans="1:7" s="117" customFormat="1" x14ac:dyDescent="0.35">
      <c r="A48" s="118" t="s">
        <v>250</v>
      </c>
      <c r="B48" s="114" t="s">
        <v>251</v>
      </c>
      <c r="C48" s="116">
        <v>1</v>
      </c>
      <c r="D48" s="116"/>
      <c r="E48" s="115"/>
      <c r="F48" s="115"/>
      <c r="G48" s="115"/>
    </row>
    <row r="49" spans="1:7" s="117" customFormat="1" x14ac:dyDescent="0.35">
      <c r="A49" s="118" t="s">
        <v>252</v>
      </c>
      <c r="B49" s="114" t="s">
        <v>253</v>
      </c>
      <c r="C49" s="116">
        <v>1</v>
      </c>
      <c r="D49" s="116"/>
      <c r="E49" s="115"/>
      <c r="F49" s="115"/>
      <c r="G49" s="115"/>
    </row>
    <row r="50" spans="1:7" s="46" customFormat="1" x14ac:dyDescent="0.35">
      <c r="A50" s="14" t="s">
        <v>254</v>
      </c>
      <c r="B50" s="29" t="s">
        <v>255</v>
      </c>
      <c r="C50" s="11">
        <v>1</v>
      </c>
      <c r="D50" s="11"/>
      <c r="E50"/>
      <c r="F50"/>
      <c r="G50"/>
    </row>
    <row r="51" spans="1:7" s="46" customFormat="1" x14ac:dyDescent="0.35">
      <c r="A51" s="14" t="s">
        <v>256</v>
      </c>
      <c r="B51" s="29" t="s">
        <v>257</v>
      </c>
      <c r="C51" s="11">
        <v>1</v>
      </c>
      <c r="D51" s="11"/>
      <c r="E51"/>
      <c r="F51"/>
      <c r="G51"/>
    </row>
    <row r="52" spans="1:7" s="46" customFormat="1" x14ac:dyDescent="0.35">
      <c r="A52" s="14" t="s">
        <v>258</v>
      </c>
      <c r="B52" s="29" t="s">
        <v>259</v>
      </c>
      <c r="C52" s="11">
        <v>1</v>
      </c>
      <c r="D52" s="11"/>
      <c r="E52"/>
      <c r="F52"/>
      <c r="G52"/>
    </row>
    <row r="53" spans="1:7" s="107" customFormat="1" x14ac:dyDescent="0.35">
      <c r="A53" s="103" t="s">
        <v>260</v>
      </c>
      <c r="B53" s="104" t="s">
        <v>261</v>
      </c>
      <c r="C53" s="105"/>
      <c r="D53" s="106"/>
      <c r="E53" s="105"/>
      <c r="F53" s="105"/>
      <c r="G53" s="105"/>
    </row>
    <row r="54" spans="1:7" s="46" customFormat="1" x14ac:dyDescent="0.35">
      <c r="A54" s="14" t="s">
        <v>262</v>
      </c>
      <c r="B54" s="97" t="s">
        <v>571</v>
      </c>
      <c r="C54" s="11">
        <v>1</v>
      </c>
      <c r="D54" s="11"/>
      <c r="E54"/>
      <c r="F54"/>
      <c r="G54"/>
    </row>
    <row r="55" spans="1:7" s="46" customFormat="1" x14ac:dyDescent="0.35">
      <c r="A55" s="14" t="s">
        <v>269</v>
      </c>
      <c r="B55" s="97" t="s">
        <v>540</v>
      </c>
      <c r="C55" s="11">
        <v>1</v>
      </c>
      <c r="D55" s="11"/>
      <c r="E55"/>
      <c r="F55"/>
      <c r="G55"/>
    </row>
    <row r="56" spans="1:7" s="46" customFormat="1" x14ac:dyDescent="0.35">
      <c r="A56" s="14" t="s">
        <v>275</v>
      </c>
      <c r="B56" s="29" t="s">
        <v>276</v>
      </c>
      <c r="C56" s="11">
        <v>1</v>
      </c>
      <c r="D56" s="11"/>
      <c r="E56"/>
      <c r="F56"/>
      <c r="G56"/>
    </row>
    <row r="57" spans="1:7" s="46" customFormat="1" x14ac:dyDescent="0.35">
      <c r="A57" s="14" t="s">
        <v>281</v>
      </c>
      <c r="B57" s="97" t="s">
        <v>572</v>
      </c>
      <c r="C57" s="11">
        <v>1</v>
      </c>
      <c r="D57" s="11"/>
      <c r="E57"/>
      <c r="F57"/>
      <c r="G57"/>
    </row>
    <row r="58" spans="1:7" s="46" customFormat="1" x14ac:dyDescent="0.35">
      <c r="A58" s="14" t="s">
        <v>286</v>
      </c>
      <c r="B58" s="29" t="s">
        <v>287</v>
      </c>
      <c r="C58" s="11">
        <v>1</v>
      </c>
      <c r="D58" s="11"/>
      <c r="E58"/>
      <c r="F58"/>
      <c r="G58"/>
    </row>
    <row r="59" spans="1:7" s="46" customFormat="1" x14ac:dyDescent="0.35">
      <c r="A59" s="14" t="s">
        <v>291</v>
      </c>
      <c r="B59" s="29" t="s">
        <v>292</v>
      </c>
      <c r="C59" s="11">
        <v>1</v>
      </c>
      <c r="D59" s="11"/>
      <c r="E59"/>
      <c r="F59"/>
      <c r="G59"/>
    </row>
    <row r="60" spans="1:7" s="46" customFormat="1" x14ac:dyDescent="0.35">
      <c r="A60" s="14" t="s">
        <v>293</v>
      </c>
      <c r="B60" s="29" t="s">
        <v>294</v>
      </c>
      <c r="C60" s="11">
        <v>1</v>
      </c>
      <c r="D60" s="11"/>
      <c r="E60"/>
      <c r="F60"/>
      <c r="G60"/>
    </row>
    <row r="61" spans="1:7" s="112" customFormat="1" x14ac:dyDescent="0.35">
      <c r="A61" s="108" t="s">
        <v>295</v>
      </c>
      <c r="B61" s="109" t="s">
        <v>296</v>
      </c>
      <c r="C61" s="110"/>
      <c r="D61" s="111"/>
      <c r="E61" s="110"/>
      <c r="F61" s="110"/>
      <c r="G61" s="110"/>
    </row>
    <row r="62" spans="1:7" s="46" customFormat="1" x14ac:dyDescent="0.35">
      <c r="A62" s="14" t="s">
        <v>301</v>
      </c>
      <c r="B62" s="97" t="s">
        <v>302</v>
      </c>
      <c r="C62" s="11">
        <v>1</v>
      </c>
      <c r="D62" s="11"/>
      <c r="E62"/>
      <c r="F62"/>
      <c r="G62"/>
    </row>
    <row r="63" spans="1:7" s="46" customFormat="1" x14ac:dyDescent="0.35">
      <c r="A63" s="14" t="s">
        <v>305</v>
      </c>
      <c r="B63" s="29" t="s">
        <v>306</v>
      </c>
      <c r="C63"/>
      <c r="D63" s="11"/>
      <c r="E63"/>
      <c r="F63"/>
      <c r="G63"/>
    </row>
    <row r="64" spans="1:7" s="46" customFormat="1" x14ac:dyDescent="0.35">
      <c r="A64" s="16" t="s">
        <v>314</v>
      </c>
      <c r="B64" s="29" t="s">
        <v>186</v>
      </c>
      <c r="C64" s="11">
        <v>1</v>
      </c>
      <c r="D64" s="11"/>
      <c r="E64"/>
      <c r="F64"/>
      <c r="G64"/>
    </row>
    <row r="65" spans="1:7" s="46" customFormat="1" x14ac:dyDescent="0.35">
      <c r="A65" s="16" t="s">
        <v>315</v>
      </c>
      <c r="B65" s="29" t="s">
        <v>316</v>
      </c>
      <c r="C65" s="11">
        <v>1</v>
      </c>
      <c r="D65" s="11"/>
      <c r="E65"/>
      <c r="F65"/>
      <c r="G65"/>
    </row>
    <row r="66" spans="1:7" s="46" customFormat="1" x14ac:dyDescent="0.35">
      <c r="A66" s="14" t="s">
        <v>317</v>
      </c>
      <c r="B66" s="29" t="s">
        <v>318</v>
      </c>
      <c r="C66"/>
      <c r="D66" s="11"/>
      <c r="E66"/>
      <c r="F66"/>
      <c r="G66"/>
    </row>
    <row r="67" spans="1:7" s="46" customFormat="1" x14ac:dyDescent="0.35">
      <c r="A67" s="16" t="s">
        <v>327</v>
      </c>
      <c r="B67" s="29" t="s">
        <v>328</v>
      </c>
      <c r="C67" s="11">
        <v>1</v>
      </c>
      <c r="D67" s="11"/>
      <c r="E67"/>
      <c r="F67"/>
      <c r="G67"/>
    </row>
    <row r="68" spans="1:7" s="46" customFormat="1" x14ac:dyDescent="0.35">
      <c r="A68" s="16" t="s">
        <v>329</v>
      </c>
      <c r="B68" s="29" t="s">
        <v>186</v>
      </c>
      <c r="C68" s="11">
        <v>1</v>
      </c>
      <c r="D68" s="11"/>
      <c r="E68"/>
      <c r="F68"/>
      <c r="G68"/>
    </row>
    <row r="69" spans="1:7" s="46" customFormat="1" x14ac:dyDescent="0.35">
      <c r="A69" s="16" t="s">
        <v>330</v>
      </c>
      <c r="B69" s="29" t="s">
        <v>316</v>
      </c>
      <c r="C69" s="11">
        <v>1</v>
      </c>
      <c r="D69" s="11"/>
      <c r="E69"/>
      <c r="F69"/>
      <c r="G69"/>
    </row>
    <row r="70" spans="1:7" s="46" customFormat="1" x14ac:dyDescent="0.35">
      <c r="A70" s="14" t="s">
        <v>331</v>
      </c>
      <c r="B70" s="29" t="s">
        <v>332</v>
      </c>
      <c r="C70" s="11">
        <v>1</v>
      </c>
      <c r="D70" s="11"/>
      <c r="E70"/>
      <c r="F70"/>
      <c r="G70"/>
    </row>
    <row r="71" spans="1:7" s="117" customFormat="1" x14ac:dyDescent="0.35">
      <c r="A71" s="113" t="s">
        <v>339</v>
      </c>
      <c r="B71" s="114" t="s">
        <v>340</v>
      </c>
      <c r="C71" s="115"/>
      <c r="D71" s="116">
        <v>1</v>
      </c>
      <c r="E71" s="115"/>
      <c r="F71" s="115"/>
      <c r="G71" s="115"/>
    </row>
    <row r="72" spans="1:7" s="117" customFormat="1" x14ac:dyDescent="0.35">
      <c r="A72" s="118" t="s">
        <v>341</v>
      </c>
      <c r="B72" s="114" t="s">
        <v>342</v>
      </c>
      <c r="C72" s="115"/>
      <c r="D72" s="116">
        <v>1</v>
      </c>
      <c r="E72" s="115"/>
      <c r="F72" s="115"/>
      <c r="G72" s="115"/>
    </row>
    <row r="73" spans="1:7" s="117" customFormat="1" x14ac:dyDescent="0.35">
      <c r="A73" s="118" t="s">
        <v>343</v>
      </c>
      <c r="B73" s="114" t="s">
        <v>344</v>
      </c>
      <c r="C73" s="115"/>
      <c r="D73" s="116">
        <v>1</v>
      </c>
      <c r="E73" s="115"/>
      <c r="F73" s="115"/>
      <c r="G73" s="115"/>
    </row>
    <row r="74" spans="1:7" s="117" customFormat="1" x14ac:dyDescent="0.35">
      <c r="A74" s="118" t="s">
        <v>345</v>
      </c>
      <c r="B74" s="114" t="s">
        <v>346</v>
      </c>
      <c r="C74" s="115"/>
      <c r="D74" s="116">
        <v>1</v>
      </c>
      <c r="E74" s="115"/>
      <c r="F74" s="115"/>
      <c r="G74" s="115"/>
    </row>
    <row r="75" spans="1:7" s="117" customFormat="1" x14ac:dyDescent="0.35">
      <c r="A75" s="118" t="s">
        <v>347</v>
      </c>
      <c r="B75" s="114" t="s">
        <v>348</v>
      </c>
      <c r="C75" s="115"/>
      <c r="D75" s="116">
        <v>1</v>
      </c>
      <c r="E75" s="115"/>
      <c r="F75" s="115"/>
      <c r="G75" s="115"/>
    </row>
    <row r="76" spans="1:7" s="117" customFormat="1" x14ac:dyDescent="0.35">
      <c r="A76" s="118" t="s">
        <v>349</v>
      </c>
      <c r="B76" s="114" t="s">
        <v>350</v>
      </c>
      <c r="C76" s="115"/>
      <c r="D76" s="116">
        <v>1</v>
      </c>
      <c r="E76" s="115"/>
      <c r="F76" s="115"/>
      <c r="G76" s="115"/>
    </row>
    <row r="77" spans="1:7" s="117" customFormat="1" x14ac:dyDescent="0.35">
      <c r="A77" s="118" t="s">
        <v>351</v>
      </c>
      <c r="B77" s="114" t="s">
        <v>352</v>
      </c>
      <c r="C77" s="115"/>
      <c r="D77" s="116">
        <v>1</v>
      </c>
      <c r="E77" s="115"/>
      <c r="F77" s="115"/>
      <c r="G77" s="115"/>
    </row>
    <row r="78" spans="1:7" s="117" customFormat="1" x14ac:dyDescent="0.35">
      <c r="A78" s="118" t="s">
        <v>353</v>
      </c>
      <c r="B78" s="114" t="s">
        <v>354</v>
      </c>
      <c r="C78" s="115"/>
      <c r="D78" s="116">
        <v>1</v>
      </c>
      <c r="E78" s="115"/>
      <c r="F78" s="115"/>
      <c r="G78" s="115"/>
    </row>
    <row r="79" spans="1:7" s="117" customFormat="1" x14ac:dyDescent="0.35">
      <c r="A79" s="118" t="s">
        <v>355</v>
      </c>
      <c r="B79" s="114" t="s">
        <v>356</v>
      </c>
      <c r="C79" s="115"/>
      <c r="D79" s="116">
        <v>1</v>
      </c>
      <c r="E79" s="115"/>
      <c r="F79" s="115"/>
      <c r="G79" s="115"/>
    </row>
    <row r="80" spans="1:7" s="117" customFormat="1" x14ac:dyDescent="0.35">
      <c r="A80" s="118" t="s">
        <v>357</v>
      </c>
      <c r="B80" s="114" t="s">
        <v>358</v>
      </c>
      <c r="C80" s="115"/>
      <c r="D80" s="116">
        <v>1</v>
      </c>
      <c r="E80" s="115"/>
      <c r="F80" s="115"/>
      <c r="G80" s="115"/>
    </row>
    <row r="81" spans="1:7" s="117" customFormat="1" x14ac:dyDescent="0.35">
      <c r="A81" s="118" t="s">
        <v>359</v>
      </c>
      <c r="B81" s="114" t="s">
        <v>360</v>
      </c>
      <c r="C81" s="115"/>
      <c r="D81" s="116">
        <v>1</v>
      </c>
      <c r="E81" s="115"/>
      <c r="F81" s="115"/>
      <c r="G81" s="115"/>
    </row>
    <row r="82" spans="1:7" s="46" customFormat="1" x14ac:dyDescent="0.35">
      <c r="A82" s="13" t="s">
        <v>361</v>
      </c>
      <c r="B82" s="29" t="s">
        <v>362</v>
      </c>
      <c r="C82" s="11">
        <v>1</v>
      </c>
      <c r="D82" s="11"/>
      <c r="E82"/>
      <c r="F82"/>
      <c r="G82"/>
    </row>
    <row r="83" spans="1:7" s="123" customFormat="1" x14ac:dyDescent="0.35">
      <c r="A83" s="119" t="s">
        <v>363</v>
      </c>
      <c r="B83" s="120" t="s">
        <v>364</v>
      </c>
      <c r="C83" s="121">
        <v>1</v>
      </c>
      <c r="D83" s="121"/>
      <c r="E83" s="122"/>
      <c r="F83" s="122"/>
      <c r="G83" s="122"/>
    </row>
    <row r="84" spans="1:7" s="46" customFormat="1" x14ac:dyDescent="0.35">
      <c r="A84" s="12" t="s">
        <v>365</v>
      </c>
      <c r="B84" s="59" t="s">
        <v>366</v>
      </c>
      <c r="C84"/>
      <c r="D84" s="11"/>
      <c r="E84"/>
      <c r="F84"/>
      <c r="G84"/>
    </row>
    <row r="85" spans="1:7" s="46" customFormat="1" x14ac:dyDescent="0.35">
      <c r="A85" s="13" t="s">
        <v>367</v>
      </c>
      <c r="B85" s="29" t="s">
        <v>368</v>
      </c>
      <c r="C85" s="11">
        <v>1</v>
      </c>
      <c r="D85" s="11"/>
      <c r="E85"/>
      <c r="F85"/>
      <c r="G85"/>
    </row>
    <row r="86" spans="1:7" s="46" customFormat="1" x14ac:dyDescent="0.35">
      <c r="A86" s="13" t="s">
        <v>369</v>
      </c>
      <c r="B86" s="29" t="s">
        <v>370</v>
      </c>
      <c r="C86" s="11">
        <v>1</v>
      </c>
      <c r="D86" s="11"/>
      <c r="E86"/>
      <c r="F86"/>
      <c r="G86"/>
    </row>
    <row r="87" spans="1:7" s="46" customFormat="1" x14ac:dyDescent="0.35">
      <c r="A87" s="13" t="s">
        <v>374</v>
      </c>
      <c r="B87" s="97" t="s">
        <v>375</v>
      </c>
      <c r="C87" s="11">
        <v>1</v>
      </c>
      <c r="D87" s="11"/>
      <c r="E87"/>
      <c r="F87"/>
      <c r="G87"/>
    </row>
    <row r="88" spans="1:7" s="46" customFormat="1" x14ac:dyDescent="0.35">
      <c r="A88" s="12" t="s">
        <v>379</v>
      </c>
      <c r="B88" s="59" t="s">
        <v>380</v>
      </c>
      <c r="C88"/>
      <c r="D88" s="11"/>
      <c r="E88"/>
      <c r="F88"/>
      <c r="G88"/>
    </row>
    <row r="89" spans="1:7" s="46" customFormat="1" x14ac:dyDescent="0.35">
      <c r="A89" s="12" t="s">
        <v>388</v>
      </c>
      <c r="B89" s="59" t="s">
        <v>389</v>
      </c>
      <c r="C89"/>
      <c r="D89" s="11"/>
      <c r="E89"/>
      <c r="F89"/>
      <c r="G89"/>
    </row>
    <row r="90" spans="1:7" s="46" customFormat="1" x14ac:dyDescent="0.35">
      <c r="A90" s="13" t="s">
        <v>390</v>
      </c>
      <c r="B90" s="29" t="s">
        <v>391</v>
      </c>
      <c r="C90" s="11">
        <v>1</v>
      </c>
      <c r="D90" s="11"/>
      <c r="E90"/>
      <c r="F90"/>
      <c r="G90"/>
    </row>
    <row r="91" spans="1:7" s="46" customFormat="1" x14ac:dyDescent="0.35">
      <c r="A91" s="13" t="s">
        <v>396</v>
      </c>
      <c r="B91" s="29" t="s">
        <v>397</v>
      </c>
      <c r="C91" s="11">
        <v>1</v>
      </c>
      <c r="D91" s="11"/>
      <c r="E91"/>
      <c r="F91"/>
      <c r="G91"/>
    </row>
    <row r="92" spans="1:7" s="46" customFormat="1" x14ac:dyDescent="0.35">
      <c r="A92" s="13" t="s">
        <v>399</v>
      </c>
      <c r="B92" s="29" t="s">
        <v>400</v>
      </c>
      <c r="C92" s="11">
        <v>1</v>
      </c>
      <c r="D92" s="11"/>
      <c r="E92"/>
      <c r="F92"/>
      <c r="G92"/>
    </row>
    <row r="93" spans="1:7" s="46" customFormat="1" x14ac:dyDescent="0.35">
      <c r="A93" s="13" t="s">
        <v>402</v>
      </c>
      <c r="B93" s="29" t="s">
        <v>403</v>
      </c>
      <c r="C93" s="11">
        <v>1</v>
      </c>
      <c r="D93" s="11"/>
      <c r="E93"/>
      <c r="F93"/>
      <c r="G93"/>
    </row>
  </sheetData>
  <printOptions horizontalCentered="1"/>
  <pageMargins left="0.51181102362204722" right="0.51181102362204722" top="0.74803149606299213" bottom="0.74803149606299213" header="0.31496062992125984" footer="0.31496062992125984"/>
  <pageSetup paperSize="8" scale="68" fitToHeight="0" orientation="portrait" r:id="rId1"/>
  <headerFooter>
    <oddHeader>&amp;C&amp;Z&amp;F</oddHeader>
    <oddFooter>&amp;L&amp;D&amp;R&amp;P/&amp;N</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8"/>
  <sheetViews>
    <sheetView topLeftCell="E1" workbookViewId="0">
      <pane ySplit="1" topLeftCell="A2" activePane="bottomLeft" state="frozen"/>
      <selection pane="bottomLeft" activeCell="W1" sqref="W1"/>
    </sheetView>
  </sheetViews>
  <sheetFormatPr defaultColWidth="11.453125" defaultRowHeight="14.5" x14ac:dyDescent="0.35"/>
  <cols>
    <col min="1" max="1" width="17.54296875" customWidth="1"/>
    <col min="2" max="2" width="12.1796875" customWidth="1"/>
    <col min="3" max="3" width="37.1796875" style="5" customWidth="1"/>
    <col min="4" max="4" width="37.1796875" style="74" customWidth="1"/>
    <col min="5" max="5" width="19.54296875" customWidth="1"/>
    <col min="6" max="6" width="40" style="5" customWidth="1"/>
    <col min="7" max="7" width="24.7265625" style="5" customWidth="1"/>
    <col min="8" max="8" width="24.7265625" customWidth="1"/>
    <col min="9" max="9" width="23.453125" hidden="1" customWidth="1"/>
    <col min="10" max="10" width="15.7265625" hidden="1" customWidth="1"/>
    <col min="11" max="11" width="18.54296875" hidden="1" customWidth="1"/>
    <col min="12" max="12" width="19.26953125" hidden="1" customWidth="1"/>
    <col min="13" max="13" width="16" style="46" hidden="1" customWidth="1"/>
    <col min="14" max="14" width="29.1796875" hidden="1" customWidth="1"/>
    <col min="15" max="15" width="19.54296875" style="45" customWidth="1"/>
    <col min="16" max="16" width="19.1796875" style="46" customWidth="1"/>
    <col min="17" max="21" width="11.453125" style="46"/>
  </cols>
  <sheetData>
    <row r="1" spans="1:21" ht="58" x14ac:dyDescent="0.35">
      <c r="A1" s="50" t="s">
        <v>0</v>
      </c>
      <c r="B1" s="50" t="s">
        <v>428</v>
      </c>
      <c r="C1" s="51" t="s">
        <v>1</v>
      </c>
      <c r="D1" s="51" t="s">
        <v>425</v>
      </c>
      <c r="E1" s="52" t="s">
        <v>2</v>
      </c>
      <c r="F1" s="52" t="s">
        <v>3</v>
      </c>
      <c r="G1" s="52" t="s">
        <v>4</v>
      </c>
      <c r="H1" s="53" t="s">
        <v>5</v>
      </c>
      <c r="I1" s="54" t="s">
        <v>6</v>
      </c>
      <c r="J1" s="17" t="s">
        <v>7</v>
      </c>
      <c r="K1" s="17" t="s">
        <v>8</v>
      </c>
      <c r="L1" s="17" t="s">
        <v>9</v>
      </c>
      <c r="M1" s="17" t="s">
        <v>10</v>
      </c>
      <c r="N1" s="18" t="s">
        <v>11</v>
      </c>
      <c r="O1" s="38" t="s">
        <v>12</v>
      </c>
      <c r="P1" s="33" t="s">
        <v>13</v>
      </c>
      <c r="Q1" s="17" t="s">
        <v>14</v>
      </c>
      <c r="R1" s="17" t="s">
        <v>15</v>
      </c>
      <c r="S1" s="17" t="s">
        <v>16</v>
      </c>
      <c r="T1" s="17" t="s">
        <v>17</v>
      </c>
      <c r="U1" s="17" t="s">
        <v>18</v>
      </c>
    </row>
    <row r="2" spans="1:21" x14ac:dyDescent="0.35">
      <c r="A2" s="12" t="s">
        <v>19</v>
      </c>
      <c r="B2" s="12"/>
      <c r="C2" s="59" t="s">
        <v>20</v>
      </c>
      <c r="D2" s="72"/>
      <c r="E2" s="2"/>
      <c r="F2" s="55" t="s">
        <v>21</v>
      </c>
      <c r="G2" s="29" t="s">
        <v>22</v>
      </c>
      <c r="H2" s="35" t="s">
        <v>23</v>
      </c>
      <c r="I2" s="9">
        <v>1</v>
      </c>
      <c r="J2" s="1"/>
      <c r="K2" s="1"/>
      <c r="L2" s="1"/>
      <c r="M2" s="43" t="s">
        <v>24</v>
      </c>
      <c r="N2" s="9"/>
      <c r="O2" s="40" t="s">
        <v>25</v>
      </c>
      <c r="P2" s="41" t="s">
        <v>26</v>
      </c>
    </row>
    <row r="3" spans="1:21" x14ac:dyDescent="0.35">
      <c r="A3" s="13" t="s">
        <v>27</v>
      </c>
      <c r="B3" s="13" t="s">
        <v>429</v>
      </c>
      <c r="C3" s="29" t="s">
        <v>28</v>
      </c>
      <c r="D3" s="58"/>
      <c r="E3" s="3"/>
      <c r="F3" s="56"/>
      <c r="G3" s="29"/>
      <c r="H3" s="9"/>
      <c r="I3" s="9"/>
      <c r="J3" s="1"/>
      <c r="K3" s="1"/>
      <c r="L3" s="1"/>
      <c r="M3" s="43"/>
      <c r="N3" s="9"/>
      <c r="O3" s="42"/>
      <c r="P3" s="43"/>
    </row>
    <row r="4" spans="1:21" x14ac:dyDescent="0.35">
      <c r="A4" s="14" t="s">
        <v>29</v>
      </c>
      <c r="B4" s="14" t="s">
        <v>429</v>
      </c>
      <c r="C4" s="29" t="s">
        <v>30</v>
      </c>
      <c r="D4" s="58"/>
      <c r="E4" s="4" t="s">
        <v>31</v>
      </c>
      <c r="F4" s="56" t="s">
        <v>32</v>
      </c>
      <c r="G4" s="29" t="s">
        <v>33</v>
      </c>
      <c r="H4" s="35" t="s">
        <v>34</v>
      </c>
      <c r="I4" s="9">
        <v>1</v>
      </c>
      <c r="J4" s="1"/>
      <c r="K4" s="1"/>
      <c r="L4" s="1"/>
      <c r="M4" s="43" t="s">
        <v>35</v>
      </c>
      <c r="N4" s="9" t="s">
        <v>36</v>
      </c>
      <c r="O4" s="47" t="s">
        <v>37</v>
      </c>
      <c r="P4" s="48" t="s">
        <v>38</v>
      </c>
    </row>
    <row r="5" spans="1:21" x14ac:dyDescent="0.35">
      <c r="A5" s="14" t="s">
        <v>39</v>
      </c>
      <c r="B5" s="14"/>
      <c r="C5" s="29" t="s">
        <v>40</v>
      </c>
      <c r="D5" s="58"/>
      <c r="E5" s="4"/>
      <c r="F5" s="56"/>
      <c r="G5" s="29"/>
      <c r="H5" s="9"/>
      <c r="I5" s="9"/>
      <c r="J5" s="1"/>
      <c r="K5" s="1"/>
      <c r="L5" s="1"/>
      <c r="M5" s="43"/>
      <c r="N5" s="9"/>
      <c r="O5" s="42"/>
      <c r="P5" s="43"/>
    </row>
    <row r="6" spans="1:21" x14ac:dyDescent="0.35">
      <c r="A6" s="14" t="s">
        <v>41</v>
      </c>
      <c r="B6" s="14"/>
      <c r="C6" s="29" t="s">
        <v>42</v>
      </c>
      <c r="D6" s="58"/>
      <c r="E6" s="2"/>
      <c r="F6" s="57"/>
      <c r="G6" s="29"/>
      <c r="H6" s="9"/>
      <c r="I6" s="9"/>
      <c r="J6" s="1"/>
      <c r="K6" s="1"/>
      <c r="L6" s="1"/>
      <c r="M6" s="43"/>
      <c r="N6" s="9"/>
      <c r="O6" s="42"/>
      <c r="P6" s="43"/>
    </row>
    <row r="7" spans="1:21" x14ac:dyDescent="0.35">
      <c r="A7" s="14" t="s">
        <v>43</v>
      </c>
      <c r="B7" s="14" t="s">
        <v>429</v>
      </c>
      <c r="C7" s="29" t="s">
        <v>44</v>
      </c>
      <c r="D7" s="58"/>
      <c r="E7" s="4" t="s">
        <v>45</v>
      </c>
      <c r="F7" s="56" t="s">
        <v>46</v>
      </c>
      <c r="G7" s="29" t="s">
        <v>33</v>
      </c>
      <c r="H7" s="35" t="s">
        <v>34</v>
      </c>
      <c r="I7" s="9">
        <v>1</v>
      </c>
      <c r="J7" s="1"/>
      <c r="K7" s="1"/>
      <c r="L7" s="1"/>
      <c r="M7" s="43" t="s">
        <v>35</v>
      </c>
      <c r="N7" s="9" t="s">
        <v>36</v>
      </c>
      <c r="O7" s="42"/>
      <c r="P7" s="43"/>
    </row>
    <row r="8" spans="1:21" x14ac:dyDescent="0.35">
      <c r="A8" s="14"/>
      <c r="B8" s="14"/>
      <c r="C8" s="29"/>
      <c r="D8" s="58"/>
      <c r="E8" s="4" t="s">
        <v>47</v>
      </c>
      <c r="F8" s="56" t="s">
        <v>48</v>
      </c>
      <c r="G8" s="29" t="s">
        <v>33</v>
      </c>
      <c r="H8" s="35" t="s">
        <v>34</v>
      </c>
      <c r="I8" s="9">
        <v>12</v>
      </c>
      <c r="J8" s="1"/>
      <c r="K8" s="1"/>
      <c r="L8" s="1"/>
      <c r="M8" s="43" t="s">
        <v>35</v>
      </c>
      <c r="N8" s="9" t="s">
        <v>36</v>
      </c>
      <c r="O8" s="42"/>
      <c r="P8" s="43"/>
    </row>
    <row r="9" spans="1:21" x14ac:dyDescent="0.35">
      <c r="A9" s="14"/>
      <c r="B9" s="14"/>
      <c r="C9" s="29"/>
      <c r="D9" s="58"/>
      <c r="E9" s="4" t="s">
        <v>49</v>
      </c>
      <c r="F9" s="56" t="s">
        <v>50</v>
      </c>
      <c r="G9" s="29" t="s">
        <v>33</v>
      </c>
      <c r="H9" s="35" t="s">
        <v>34</v>
      </c>
      <c r="I9" s="9">
        <v>175</v>
      </c>
      <c r="J9" s="1"/>
      <c r="K9" s="1"/>
      <c r="L9" s="1"/>
      <c r="M9" s="43" t="s">
        <v>35</v>
      </c>
      <c r="N9" s="9" t="s">
        <v>36</v>
      </c>
      <c r="O9" s="42"/>
      <c r="P9" s="43"/>
    </row>
    <row r="10" spans="1:21" x14ac:dyDescent="0.35">
      <c r="A10" s="14" t="s">
        <v>51</v>
      </c>
      <c r="B10" s="14" t="s">
        <v>429</v>
      </c>
      <c r="C10" s="29" t="s">
        <v>52</v>
      </c>
      <c r="D10" s="58"/>
      <c r="E10" s="2" t="s">
        <v>53</v>
      </c>
      <c r="F10" s="55" t="s">
        <v>54</v>
      </c>
      <c r="G10" s="29" t="s">
        <v>22</v>
      </c>
      <c r="H10" s="35" t="s">
        <v>23</v>
      </c>
      <c r="I10" s="9">
        <v>1</v>
      </c>
      <c r="J10" s="1"/>
      <c r="K10" s="1"/>
      <c r="L10" s="1"/>
      <c r="M10" s="43" t="s">
        <v>24</v>
      </c>
      <c r="N10" s="9"/>
      <c r="O10" s="47" t="s">
        <v>55</v>
      </c>
      <c r="P10" s="48" t="s">
        <v>55</v>
      </c>
      <c r="T10" s="46" t="s">
        <v>24</v>
      </c>
    </row>
    <row r="11" spans="1:21" x14ac:dyDescent="0.35">
      <c r="A11" s="14"/>
      <c r="B11" s="14"/>
      <c r="C11" s="29"/>
      <c r="D11" s="58"/>
      <c r="E11" s="2" t="s">
        <v>56</v>
      </c>
      <c r="F11" s="55" t="s">
        <v>57</v>
      </c>
      <c r="G11" s="29" t="s">
        <v>33</v>
      </c>
      <c r="H11" s="35" t="s">
        <v>34</v>
      </c>
      <c r="I11" s="9">
        <v>1</v>
      </c>
      <c r="J11" s="1"/>
      <c r="K11" s="1"/>
      <c r="L11" s="1"/>
      <c r="M11" s="43" t="s">
        <v>35</v>
      </c>
      <c r="N11" s="9" t="s">
        <v>36</v>
      </c>
      <c r="O11" s="42"/>
      <c r="P11" s="43"/>
    </row>
    <row r="12" spans="1:21" x14ac:dyDescent="0.35">
      <c r="A12" s="14"/>
      <c r="B12" s="14"/>
      <c r="C12" s="29"/>
      <c r="D12" s="58"/>
      <c r="E12" s="2" t="s">
        <v>58</v>
      </c>
      <c r="F12" s="55" t="s">
        <v>59</v>
      </c>
      <c r="G12" s="29" t="s">
        <v>22</v>
      </c>
      <c r="H12" s="35" t="s">
        <v>23</v>
      </c>
      <c r="I12" s="9">
        <v>1</v>
      </c>
      <c r="J12" s="1"/>
      <c r="K12" s="1"/>
      <c r="L12" s="1"/>
      <c r="M12" s="43" t="s">
        <v>24</v>
      </c>
      <c r="N12" s="9"/>
      <c r="O12" s="42"/>
      <c r="P12" s="43"/>
    </row>
    <row r="13" spans="1:21" x14ac:dyDescent="0.35">
      <c r="A13" s="14" t="s">
        <v>60</v>
      </c>
      <c r="B13" s="14" t="s">
        <v>429</v>
      </c>
      <c r="C13" s="29" t="s">
        <v>61</v>
      </c>
      <c r="D13" s="58"/>
      <c r="E13" s="2" t="s">
        <v>62</v>
      </c>
      <c r="F13" s="55" t="s">
        <v>63</v>
      </c>
      <c r="G13" s="29" t="s">
        <v>22</v>
      </c>
      <c r="H13" s="35" t="s">
        <v>23</v>
      </c>
      <c r="I13" s="9">
        <v>50</v>
      </c>
      <c r="J13" s="1"/>
      <c r="K13" s="1"/>
      <c r="L13" s="1"/>
      <c r="M13" s="43" t="s">
        <v>24</v>
      </c>
      <c r="N13" s="9"/>
      <c r="O13" s="42"/>
      <c r="P13" s="43"/>
      <c r="T13" s="46" t="s">
        <v>24</v>
      </c>
    </row>
    <row r="14" spans="1:21" x14ac:dyDescent="0.35">
      <c r="A14" s="14"/>
      <c r="B14" s="14"/>
      <c r="C14" s="29"/>
      <c r="D14" s="58"/>
      <c r="E14" s="2" t="s">
        <v>64</v>
      </c>
      <c r="F14" s="55" t="s">
        <v>65</v>
      </c>
      <c r="G14" s="29" t="s">
        <v>22</v>
      </c>
      <c r="H14" s="35" t="s">
        <v>23</v>
      </c>
      <c r="I14" s="9">
        <v>11</v>
      </c>
      <c r="J14" s="1"/>
      <c r="K14" s="1"/>
      <c r="L14" s="1"/>
      <c r="M14" s="43" t="s">
        <v>24</v>
      </c>
      <c r="N14" s="9"/>
      <c r="O14" s="42"/>
      <c r="P14" s="43"/>
    </row>
    <row r="15" spans="1:21" x14ac:dyDescent="0.35">
      <c r="A15" s="14"/>
      <c r="B15" s="14"/>
      <c r="C15" s="29"/>
      <c r="D15" s="58"/>
      <c r="E15" s="2" t="s">
        <v>66</v>
      </c>
      <c r="F15" s="55" t="s">
        <v>67</v>
      </c>
      <c r="G15" s="29" t="s">
        <v>22</v>
      </c>
      <c r="H15" s="35" t="s">
        <v>23</v>
      </c>
      <c r="I15" s="9">
        <v>27</v>
      </c>
      <c r="J15" s="1"/>
      <c r="K15" s="1"/>
      <c r="L15" s="1"/>
      <c r="M15" s="43" t="s">
        <v>24</v>
      </c>
      <c r="N15" s="9"/>
      <c r="O15" s="42"/>
      <c r="P15" s="43"/>
      <c r="T15" s="46" t="s">
        <v>24</v>
      </c>
    </row>
    <row r="16" spans="1:21" x14ac:dyDescent="0.35">
      <c r="A16" s="14"/>
      <c r="B16" s="14"/>
      <c r="C16" s="29"/>
      <c r="D16" s="58"/>
      <c r="E16" s="2" t="s">
        <v>68</v>
      </c>
      <c r="F16" s="55" t="s">
        <v>69</v>
      </c>
      <c r="G16" s="29" t="s">
        <v>22</v>
      </c>
      <c r="H16" s="35" t="s">
        <v>23</v>
      </c>
      <c r="I16" s="9">
        <v>8</v>
      </c>
      <c r="J16" s="1"/>
      <c r="K16" s="1"/>
      <c r="L16" s="1"/>
      <c r="M16" s="43" t="s">
        <v>24</v>
      </c>
      <c r="N16" s="9"/>
      <c r="O16" s="42"/>
      <c r="P16" s="43"/>
    </row>
    <row r="17" spans="1:21" x14ac:dyDescent="0.35">
      <c r="A17" s="13" t="s">
        <v>70</v>
      </c>
      <c r="B17" s="13"/>
      <c r="C17" s="29" t="s">
        <v>71</v>
      </c>
      <c r="D17" s="58"/>
      <c r="E17" s="2"/>
      <c r="F17" s="55"/>
      <c r="G17" s="29"/>
      <c r="H17" s="9"/>
      <c r="I17" s="9"/>
      <c r="J17" s="1"/>
      <c r="K17" s="1"/>
      <c r="L17" s="1"/>
      <c r="M17" s="43"/>
      <c r="N17" s="9"/>
      <c r="O17" s="42"/>
      <c r="P17" s="43"/>
    </row>
    <row r="18" spans="1:21" x14ac:dyDescent="0.35">
      <c r="A18" s="14" t="s">
        <v>72</v>
      </c>
      <c r="B18" s="14" t="s">
        <v>429</v>
      </c>
      <c r="C18" s="29" t="s">
        <v>73</v>
      </c>
      <c r="D18" s="58"/>
      <c r="E18" s="2" t="s">
        <v>74</v>
      </c>
      <c r="F18" s="55" t="s">
        <v>75</v>
      </c>
      <c r="G18" s="29" t="s">
        <v>76</v>
      </c>
      <c r="H18" s="35" t="s">
        <v>77</v>
      </c>
      <c r="I18" s="9">
        <v>1</v>
      </c>
      <c r="J18" s="1"/>
      <c r="K18" s="1"/>
      <c r="L18" s="1"/>
      <c r="M18" s="43" t="s">
        <v>35</v>
      </c>
      <c r="N18" s="9" t="s">
        <v>78</v>
      </c>
      <c r="O18" s="47" t="s">
        <v>79</v>
      </c>
      <c r="P18" s="47" t="s">
        <v>80</v>
      </c>
    </row>
    <row r="19" spans="1:21" x14ac:dyDescent="0.35">
      <c r="A19" s="14"/>
      <c r="B19" s="14"/>
      <c r="C19" s="29"/>
      <c r="D19" s="58"/>
      <c r="E19" s="2" t="s">
        <v>81</v>
      </c>
      <c r="F19" s="55" t="s">
        <v>82</v>
      </c>
      <c r="G19" s="29" t="s">
        <v>33</v>
      </c>
      <c r="H19" s="35" t="s">
        <v>34</v>
      </c>
      <c r="I19" s="9">
        <v>1</v>
      </c>
      <c r="J19" s="1"/>
      <c r="K19" s="1"/>
      <c r="L19" s="1"/>
      <c r="M19" s="43" t="s">
        <v>35</v>
      </c>
      <c r="N19" s="9" t="s">
        <v>36</v>
      </c>
      <c r="O19" s="47" t="s">
        <v>37</v>
      </c>
      <c r="P19" s="48" t="s">
        <v>83</v>
      </c>
    </row>
    <row r="20" spans="1:21" x14ac:dyDescent="0.35">
      <c r="A20" s="14" t="s">
        <v>84</v>
      </c>
      <c r="B20" s="14" t="s">
        <v>429</v>
      </c>
      <c r="C20" s="29" t="s">
        <v>85</v>
      </c>
      <c r="D20" s="58" t="s">
        <v>426</v>
      </c>
      <c r="E20" s="2" t="s">
        <v>86</v>
      </c>
      <c r="F20" s="55" t="s">
        <v>85</v>
      </c>
      <c r="G20" s="29" t="s">
        <v>33</v>
      </c>
      <c r="H20" s="35" t="s">
        <v>34</v>
      </c>
      <c r="I20" s="9">
        <v>1</v>
      </c>
      <c r="J20" s="1"/>
      <c r="K20" s="1"/>
      <c r="L20" s="1"/>
      <c r="M20" s="43" t="s">
        <v>35</v>
      </c>
      <c r="N20" s="9" t="s">
        <v>36</v>
      </c>
      <c r="O20" s="47" t="s">
        <v>87</v>
      </c>
      <c r="P20" s="48" t="s">
        <v>88</v>
      </c>
    </row>
    <row r="21" spans="1:21" x14ac:dyDescent="0.35">
      <c r="A21" s="14" t="s">
        <v>89</v>
      </c>
      <c r="B21" s="14"/>
      <c r="C21" s="29" t="s">
        <v>90</v>
      </c>
      <c r="D21" s="58"/>
      <c r="E21" s="2"/>
      <c r="F21" s="55"/>
      <c r="G21" s="29"/>
      <c r="H21" s="9"/>
      <c r="I21" s="9"/>
      <c r="J21" s="1"/>
      <c r="K21" s="1"/>
      <c r="L21" s="1"/>
      <c r="M21" s="43"/>
      <c r="N21" s="9"/>
      <c r="O21" s="42"/>
      <c r="P21" s="43"/>
    </row>
    <row r="22" spans="1:21" x14ac:dyDescent="0.35">
      <c r="A22" s="13" t="s">
        <v>91</v>
      </c>
      <c r="B22" s="13"/>
      <c r="C22" s="29" t="s">
        <v>92</v>
      </c>
      <c r="D22" s="58"/>
      <c r="E22" s="2"/>
      <c r="F22" s="55"/>
      <c r="G22" s="29"/>
      <c r="H22" s="9"/>
      <c r="I22" s="9"/>
      <c r="J22" s="1"/>
      <c r="K22" s="1"/>
      <c r="L22" s="1"/>
      <c r="M22" s="43"/>
      <c r="N22" s="9"/>
      <c r="O22" s="42"/>
      <c r="P22" s="43"/>
    </row>
    <row r="23" spans="1:21" x14ac:dyDescent="0.35">
      <c r="A23" s="14" t="s">
        <v>93</v>
      </c>
      <c r="B23" s="14"/>
      <c r="C23" s="29" t="s">
        <v>94</v>
      </c>
      <c r="D23" s="58"/>
      <c r="E23" s="2"/>
      <c r="F23" s="55"/>
      <c r="G23" s="29"/>
      <c r="H23" s="9"/>
      <c r="I23" s="9"/>
      <c r="J23" s="1"/>
      <c r="K23" s="1"/>
      <c r="L23" s="1"/>
      <c r="M23" s="43"/>
      <c r="N23" s="9"/>
      <c r="O23" s="42"/>
      <c r="P23" s="43"/>
    </row>
    <row r="24" spans="1:21" x14ac:dyDescent="0.35">
      <c r="A24" s="14" t="s">
        <v>95</v>
      </c>
      <c r="B24" s="14"/>
      <c r="C24" s="29" t="s">
        <v>96</v>
      </c>
      <c r="D24" s="58"/>
      <c r="E24" s="2"/>
      <c r="F24" s="55"/>
      <c r="G24" s="29"/>
      <c r="H24" s="9"/>
      <c r="I24" s="9"/>
      <c r="J24" s="1"/>
      <c r="K24" s="1"/>
      <c r="L24" s="1"/>
      <c r="M24" s="43"/>
      <c r="N24" s="9"/>
      <c r="O24" s="42"/>
      <c r="P24" s="43"/>
    </row>
    <row r="25" spans="1:21" x14ac:dyDescent="0.35">
      <c r="A25" s="12" t="s">
        <v>97</v>
      </c>
      <c r="B25" s="12"/>
      <c r="C25" s="59" t="s">
        <v>98</v>
      </c>
      <c r="D25" s="72"/>
      <c r="E25" s="2"/>
      <c r="F25" s="55"/>
      <c r="G25" s="29"/>
      <c r="H25" s="9"/>
      <c r="I25" s="9"/>
      <c r="J25" s="1"/>
      <c r="K25" s="1"/>
      <c r="L25" s="1"/>
      <c r="M25" s="43"/>
      <c r="N25" s="9"/>
      <c r="O25" s="42"/>
      <c r="P25" s="43"/>
    </row>
    <row r="26" spans="1:21" ht="29" x14ac:dyDescent="0.35">
      <c r="A26" s="13" t="s">
        <v>99</v>
      </c>
      <c r="B26" s="13"/>
      <c r="C26" s="29" t="s">
        <v>100</v>
      </c>
      <c r="D26" s="58"/>
      <c r="E26" s="2" t="s">
        <v>101</v>
      </c>
      <c r="F26" s="55" t="s">
        <v>98</v>
      </c>
      <c r="G26" s="58" t="s">
        <v>102</v>
      </c>
      <c r="H26" s="37" t="s">
        <v>103</v>
      </c>
      <c r="I26" s="9">
        <v>5</v>
      </c>
      <c r="J26" s="1"/>
      <c r="K26" s="1"/>
      <c r="L26" s="1"/>
      <c r="M26" s="48" t="s">
        <v>35</v>
      </c>
      <c r="N26" s="10" t="s">
        <v>104</v>
      </c>
      <c r="O26" s="47" t="s">
        <v>105</v>
      </c>
      <c r="P26" s="47" t="s">
        <v>106</v>
      </c>
      <c r="Q26" s="46" t="s">
        <v>35</v>
      </c>
      <c r="R26" s="49" t="s">
        <v>107</v>
      </c>
      <c r="S26" s="49" t="s">
        <v>107</v>
      </c>
      <c r="T26" s="49" t="s">
        <v>35</v>
      </c>
      <c r="U26" s="49" t="s">
        <v>35</v>
      </c>
    </row>
    <row r="27" spans="1:21" ht="43.5" x14ac:dyDescent="0.35">
      <c r="A27" s="13" t="s">
        <v>108</v>
      </c>
      <c r="B27" s="13" t="s">
        <v>429</v>
      </c>
      <c r="C27" s="29" t="s">
        <v>109</v>
      </c>
      <c r="D27" s="58" t="s">
        <v>427</v>
      </c>
      <c r="E27" s="2" t="s">
        <v>110</v>
      </c>
      <c r="F27" s="55" t="s">
        <v>111</v>
      </c>
      <c r="G27" s="58" t="s">
        <v>102</v>
      </c>
      <c r="H27" s="37" t="s">
        <v>103</v>
      </c>
      <c r="I27" s="9">
        <v>1</v>
      </c>
      <c r="J27" s="1"/>
      <c r="K27" s="1"/>
      <c r="L27" s="1"/>
      <c r="M27" s="48" t="s">
        <v>35</v>
      </c>
      <c r="N27" s="10" t="s">
        <v>104</v>
      </c>
      <c r="O27" s="47" t="s">
        <v>105</v>
      </c>
      <c r="P27" s="47" t="s">
        <v>106</v>
      </c>
      <c r="Q27" s="46" t="s">
        <v>35</v>
      </c>
      <c r="R27" s="49" t="s">
        <v>107</v>
      </c>
      <c r="S27" s="49" t="s">
        <v>107</v>
      </c>
      <c r="T27" s="49" t="s">
        <v>35</v>
      </c>
      <c r="U27" s="49" t="s">
        <v>35</v>
      </c>
    </row>
    <row r="28" spans="1:21" ht="29" x14ac:dyDescent="0.35">
      <c r="A28" s="13"/>
      <c r="B28" s="13"/>
      <c r="C28" s="29"/>
      <c r="D28" s="58"/>
      <c r="E28" s="2" t="s">
        <v>112</v>
      </c>
      <c r="F28" s="55" t="s">
        <v>113</v>
      </c>
      <c r="G28" s="58" t="s">
        <v>102</v>
      </c>
      <c r="H28" s="37" t="s">
        <v>103</v>
      </c>
      <c r="I28" s="9">
        <v>1</v>
      </c>
      <c r="J28" s="1"/>
      <c r="K28" s="1"/>
      <c r="L28" s="1"/>
      <c r="M28" s="48" t="s">
        <v>35</v>
      </c>
      <c r="N28" s="10" t="s">
        <v>104</v>
      </c>
      <c r="O28" s="47" t="s">
        <v>105</v>
      </c>
      <c r="P28" s="43"/>
      <c r="Q28" s="46" t="s">
        <v>35</v>
      </c>
      <c r="R28" s="49" t="s">
        <v>107</v>
      </c>
      <c r="S28" s="49" t="s">
        <v>107</v>
      </c>
      <c r="T28" s="49" t="s">
        <v>35</v>
      </c>
      <c r="U28" s="49" t="s">
        <v>35</v>
      </c>
    </row>
    <row r="29" spans="1:21" ht="29" x14ac:dyDescent="0.35">
      <c r="A29" s="13"/>
      <c r="B29" s="13"/>
      <c r="C29" s="29"/>
      <c r="D29" s="58"/>
      <c r="E29" s="2" t="s">
        <v>114</v>
      </c>
      <c r="F29" s="55" t="s">
        <v>115</v>
      </c>
      <c r="G29" s="58" t="s">
        <v>102</v>
      </c>
      <c r="H29" s="37" t="s">
        <v>103</v>
      </c>
      <c r="I29" s="9">
        <v>1</v>
      </c>
      <c r="J29" s="1"/>
      <c r="K29" s="1"/>
      <c r="L29" s="1"/>
      <c r="M29" s="48" t="s">
        <v>35</v>
      </c>
      <c r="N29" s="10" t="s">
        <v>104</v>
      </c>
      <c r="O29" s="47" t="s">
        <v>105</v>
      </c>
      <c r="P29" s="43"/>
      <c r="Q29" s="46" t="s">
        <v>35</v>
      </c>
      <c r="R29" s="49" t="s">
        <v>107</v>
      </c>
      <c r="S29" s="49" t="s">
        <v>107</v>
      </c>
      <c r="T29" s="49" t="s">
        <v>35</v>
      </c>
      <c r="U29" s="49" t="s">
        <v>35</v>
      </c>
    </row>
    <row r="30" spans="1:21" ht="29" x14ac:dyDescent="0.35">
      <c r="A30" s="13"/>
      <c r="B30" s="13"/>
      <c r="C30" s="29"/>
      <c r="D30" s="58"/>
      <c r="E30" s="2" t="s">
        <v>116</v>
      </c>
      <c r="F30" s="55" t="s">
        <v>117</v>
      </c>
      <c r="G30" s="58" t="s">
        <v>102</v>
      </c>
      <c r="H30" s="37" t="s">
        <v>103</v>
      </c>
      <c r="I30" s="9">
        <v>1</v>
      </c>
      <c r="J30" s="1"/>
      <c r="K30" s="1"/>
      <c r="L30" s="1"/>
      <c r="M30" s="48" t="s">
        <v>35</v>
      </c>
      <c r="N30" s="10" t="s">
        <v>104</v>
      </c>
      <c r="O30" s="47" t="s">
        <v>105</v>
      </c>
      <c r="P30" s="43"/>
      <c r="Q30" s="46" t="s">
        <v>35</v>
      </c>
      <c r="R30" s="49" t="s">
        <v>107</v>
      </c>
      <c r="S30" s="49" t="s">
        <v>107</v>
      </c>
      <c r="T30" s="49" t="s">
        <v>35</v>
      </c>
      <c r="U30" s="49" t="s">
        <v>35</v>
      </c>
    </row>
    <row r="31" spans="1:21" ht="29" x14ac:dyDescent="0.35">
      <c r="A31" s="13" t="s">
        <v>118</v>
      </c>
      <c r="B31" s="76" t="s">
        <v>429</v>
      </c>
      <c r="C31" s="29" t="s">
        <v>119</v>
      </c>
      <c r="D31" s="75" t="s">
        <v>536</v>
      </c>
      <c r="E31" s="2" t="s">
        <v>120</v>
      </c>
      <c r="F31" s="55" t="s">
        <v>121</v>
      </c>
      <c r="G31" s="58" t="s">
        <v>102</v>
      </c>
      <c r="H31" s="37" t="s">
        <v>103</v>
      </c>
      <c r="I31" s="9">
        <v>1</v>
      </c>
      <c r="J31" s="1"/>
      <c r="K31" s="1"/>
      <c r="L31" s="1"/>
      <c r="M31" s="48" t="s">
        <v>35</v>
      </c>
      <c r="N31" s="10" t="s">
        <v>104</v>
      </c>
      <c r="O31" s="47" t="s">
        <v>122</v>
      </c>
      <c r="P31" s="43"/>
      <c r="Q31" s="46" t="s">
        <v>35</v>
      </c>
      <c r="R31" s="49" t="s">
        <v>107</v>
      </c>
      <c r="S31" s="49" t="s">
        <v>107</v>
      </c>
      <c r="T31" s="49" t="s">
        <v>35</v>
      </c>
      <c r="U31" s="49" t="s">
        <v>35</v>
      </c>
    </row>
    <row r="32" spans="1:21" x14ac:dyDescent="0.35">
      <c r="A32" s="13" t="s">
        <v>123</v>
      </c>
      <c r="B32" s="13"/>
      <c r="C32" s="29" t="s">
        <v>124</v>
      </c>
      <c r="D32" s="58"/>
      <c r="E32" s="2"/>
      <c r="F32" s="55"/>
      <c r="G32" s="29"/>
      <c r="H32" s="9"/>
      <c r="I32" s="9"/>
      <c r="J32" s="1"/>
      <c r="K32" s="1"/>
      <c r="L32" s="1"/>
      <c r="M32" s="43"/>
      <c r="N32" s="9"/>
      <c r="O32" s="42"/>
      <c r="P32" s="43"/>
    </row>
    <row r="33" spans="1:20" x14ac:dyDescent="0.35">
      <c r="A33" s="12" t="s">
        <v>125</v>
      </c>
      <c r="B33" s="12"/>
      <c r="C33" s="59" t="s">
        <v>126</v>
      </c>
      <c r="D33" s="72"/>
      <c r="E33" s="2"/>
      <c r="F33" s="55"/>
      <c r="G33" s="29"/>
      <c r="H33" s="9"/>
      <c r="I33" s="9"/>
      <c r="J33" s="1"/>
      <c r="K33" s="1"/>
      <c r="L33" s="1"/>
      <c r="M33" s="43"/>
      <c r="N33" s="9"/>
      <c r="O33" s="42"/>
      <c r="P33" s="43"/>
    </row>
    <row r="34" spans="1:20" x14ac:dyDescent="0.35">
      <c r="A34" s="13" t="s">
        <v>127</v>
      </c>
      <c r="B34" s="13"/>
      <c r="C34" s="29" t="s">
        <v>128</v>
      </c>
      <c r="D34" s="58"/>
      <c r="E34" s="2" t="s">
        <v>129</v>
      </c>
      <c r="F34" s="55" t="s">
        <v>130</v>
      </c>
      <c r="G34" s="29" t="s">
        <v>76</v>
      </c>
      <c r="H34" s="35" t="s">
        <v>77</v>
      </c>
      <c r="I34" s="9">
        <v>3</v>
      </c>
      <c r="J34" s="1"/>
      <c r="K34" s="1"/>
      <c r="L34" s="1"/>
      <c r="M34" s="43" t="s">
        <v>35</v>
      </c>
      <c r="N34" s="9" t="s">
        <v>78</v>
      </c>
      <c r="O34" s="47" t="s">
        <v>131</v>
      </c>
      <c r="P34" s="47" t="s">
        <v>132</v>
      </c>
    </row>
    <row r="35" spans="1:20" x14ac:dyDescent="0.35">
      <c r="A35" s="13" t="s">
        <v>133</v>
      </c>
      <c r="B35" s="13" t="s">
        <v>429</v>
      </c>
      <c r="C35" s="29" t="s">
        <v>134</v>
      </c>
      <c r="D35" s="58"/>
      <c r="E35" s="2" t="s">
        <v>135</v>
      </c>
      <c r="F35" s="55" t="s">
        <v>136</v>
      </c>
      <c r="G35" s="29" t="s">
        <v>137</v>
      </c>
      <c r="H35" s="35" t="s">
        <v>138</v>
      </c>
      <c r="I35" s="9">
        <v>1</v>
      </c>
      <c r="J35" s="1"/>
      <c r="K35" s="1"/>
      <c r="L35" s="1"/>
      <c r="M35" s="43" t="s">
        <v>35</v>
      </c>
      <c r="N35" s="35" t="s">
        <v>139</v>
      </c>
      <c r="O35" s="42"/>
      <c r="P35" s="43"/>
    </row>
    <row r="36" spans="1:20" ht="43.5" x14ac:dyDescent="0.35">
      <c r="A36" s="13" t="s">
        <v>140</v>
      </c>
      <c r="B36" s="13" t="s">
        <v>429</v>
      </c>
      <c r="C36" s="29" t="s">
        <v>141</v>
      </c>
      <c r="D36" s="58"/>
      <c r="E36" s="2" t="s">
        <v>142</v>
      </c>
      <c r="F36" s="55" t="s">
        <v>143</v>
      </c>
      <c r="G36" s="29" t="s">
        <v>144</v>
      </c>
      <c r="H36" s="36" t="s">
        <v>145</v>
      </c>
      <c r="I36" s="9">
        <v>6</v>
      </c>
      <c r="J36" s="1"/>
      <c r="K36" s="1"/>
      <c r="L36" s="1"/>
      <c r="M36" s="43" t="s">
        <v>24</v>
      </c>
      <c r="N36" s="9"/>
      <c r="O36" s="42"/>
      <c r="P36" s="43"/>
    </row>
    <row r="37" spans="1:20" ht="43.5" x14ac:dyDescent="0.35">
      <c r="A37" s="13"/>
      <c r="B37" s="13"/>
      <c r="C37" s="29"/>
      <c r="D37" s="58"/>
      <c r="E37" s="2" t="s">
        <v>146</v>
      </c>
      <c r="F37" s="55" t="s">
        <v>147</v>
      </c>
      <c r="G37" s="29" t="s">
        <v>144</v>
      </c>
      <c r="H37" s="36" t="s">
        <v>145</v>
      </c>
      <c r="I37" s="9">
        <v>1</v>
      </c>
      <c r="J37" s="1"/>
      <c r="K37" s="1"/>
      <c r="L37" s="1"/>
      <c r="M37" s="43" t="s">
        <v>24</v>
      </c>
      <c r="N37" s="9"/>
      <c r="O37" s="47" t="s">
        <v>148</v>
      </c>
      <c r="P37" s="48" t="s">
        <v>149</v>
      </c>
      <c r="Q37" s="49" t="s">
        <v>35</v>
      </c>
      <c r="T37" s="49" t="s">
        <v>24</v>
      </c>
    </row>
    <row r="38" spans="1:20" ht="43.5" x14ac:dyDescent="0.35">
      <c r="A38" s="13"/>
      <c r="B38" s="13"/>
      <c r="C38" s="29"/>
      <c r="D38" s="58"/>
      <c r="E38" s="2"/>
      <c r="F38" s="55" t="s">
        <v>150</v>
      </c>
      <c r="G38" s="29" t="s">
        <v>144</v>
      </c>
      <c r="H38" s="36" t="s">
        <v>145</v>
      </c>
      <c r="I38" s="9">
        <v>14</v>
      </c>
      <c r="J38" s="1"/>
      <c r="K38" s="1"/>
      <c r="L38" s="1"/>
      <c r="M38" s="43" t="s">
        <v>24</v>
      </c>
      <c r="N38" s="9"/>
      <c r="O38" s="47" t="s">
        <v>148</v>
      </c>
      <c r="P38" s="48" t="s">
        <v>151</v>
      </c>
      <c r="Q38" s="49" t="s">
        <v>35</v>
      </c>
      <c r="T38" s="49" t="s">
        <v>24</v>
      </c>
    </row>
    <row r="39" spans="1:20" ht="43.5" x14ac:dyDescent="0.35">
      <c r="A39" s="13"/>
      <c r="B39" s="13"/>
      <c r="C39" s="29"/>
      <c r="D39" s="58"/>
      <c r="E39" s="2"/>
      <c r="F39" s="55" t="s">
        <v>152</v>
      </c>
      <c r="G39" s="29" t="s">
        <v>144</v>
      </c>
      <c r="H39" s="36" t="s">
        <v>145</v>
      </c>
      <c r="I39" s="9">
        <v>45</v>
      </c>
      <c r="J39" s="1"/>
      <c r="K39" s="1"/>
      <c r="L39" s="1"/>
      <c r="M39" s="43" t="s">
        <v>24</v>
      </c>
      <c r="N39" s="9"/>
      <c r="O39" s="47" t="s">
        <v>107</v>
      </c>
      <c r="P39" s="48" t="s">
        <v>107</v>
      </c>
    </row>
    <row r="40" spans="1:20" x14ac:dyDescent="0.35">
      <c r="A40" s="13" t="s">
        <v>153</v>
      </c>
      <c r="B40" s="13" t="s">
        <v>429</v>
      </c>
      <c r="C40" s="29" t="s">
        <v>154</v>
      </c>
      <c r="D40" s="58"/>
      <c r="E40" s="2"/>
      <c r="F40" s="55"/>
      <c r="G40" s="29"/>
      <c r="H40" s="9"/>
      <c r="I40" s="9"/>
      <c r="J40" s="1"/>
      <c r="K40" s="1"/>
      <c r="L40" s="1"/>
      <c r="M40" s="43"/>
      <c r="N40" s="9"/>
      <c r="O40" s="42"/>
      <c r="P40" s="43"/>
    </row>
    <row r="41" spans="1:20" x14ac:dyDescent="0.35">
      <c r="A41" s="12" t="s">
        <v>155</v>
      </c>
      <c r="B41" s="12" t="s">
        <v>429</v>
      </c>
      <c r="C41" s="59" t="s">
        <v>156</v>
      </c>
      <c r="D41" s="72"/>
      <c r="E41" s="2"/>
      <c r="F41" s="55"/>
      <c r="G41" s="29"/>
      <c r="H41" s="9"/>
      <c r="I41" s="9"/>
      <c r="J41" s="1"/>
      <c r="K41" s="1"/>
      <c r="L41" s="1"/>
      <c r="M41" s="43"/>
      <c r="N41" s="9"/>
      <c r="O41" s="42"/>
      <c r="P41" s="43"/>
    </row>
    <row r="42" spans="1:20" x14ac:dyDescent="0.35">
      <c r="A42" s="13" t="s">
        <v>157</v>
      </c>
      <c r="B42" s="13"/>
      <c r="C42" s="29" t="s">
        <v>158</v>
      </c>
      <c r="D42" s="58"/>
      <c r="E42" s="2" t="s">
        <v>159</v>
      </c>
      <c r="F42" s="55" t="s">
        <v>160</v>
      </c>
      <c r="G42" s="29" t="s">
        <v>22</v>
      </c>
      <c r="H42" s="35" t="s">
        <v>23</v>
      </c>
      <c r="I42" s="9">
        <v>1</v>
      </c>
      <c r="J42" s="1"/>
      <c r="K42" s="1"/>
      <c r="L42" s="1"/>
      <c r="M42" s="43" t="s">
        <v>24</v>
      </c>
      <c r="N42" s="9"/>
      <c r="O42" s="47" t="s">
        <v>25</v>
      </c>
      <c r="P42" s="47" t="s">
        <v>161</v>
      </c>
      <c r="T42" s="46" t="s">
        <v>24</v>
      </c>
    </row>
    <row r="43" spans="1:20" x14ac:dyDescent="0.35">
      <c r="A43" s="13" t="s">
        <v>162</v>
      </c>
      <c r="B43" s="13" t="s">
        <v>429</v>
      </c>
      <c r="C43" s="29" t="s">
        <v>163</v>
      </c>
      <c r="D43" s="58"/>
      <c r="E43" s="2" t="s">
        <v>164</v>
      </c>
      <c r="F43" s="55" t="s">
        <v>165</v>
      </c>
      <c r="G43" s="29" t="s">
        <v>22</v>
      </c>
      <c r="H43" s="35" t="s">
        <v>23</v>
      </c>
      <c r="I43" s="9">
        <v>1</v>
      </c>
      <c r="J43" s="1"/>
      <c r="K43" s="1"/>
      <c r="L43" s="1"/>
      <c r="M43" s="43" t="s">
        <v>24</v>
      </c>
      <c r="N43" s="9"/>
      <c r="O43" s="47" t="s">
        <v>166</v>
      </c>
      <c r="P43" s="47" t="s">
        <v>167</v>
      </c>
      <c r="T43" s="46" t="s">
        <v>24</v>
      </c>
    </row>
    <row r="44" spans="1:20" x14ac:dyDescent="0.35">
      <c r="A44" s="13"/>
      <c r="B44" s="13"/>
      <c r="C44" s="29"/>
      <c r="D44" s="58"/>
      <c r="E44" s="2" t="s">
        <v>168</v>
      </c>
      <c r="F44" s="55" t="s">
        <v>169</v>
      </c>
      <c r="G44" s="29" t="s">
        <v>22</v>
      </c>
      <c r="H44" s="35" t="s">
        <v>23</v>
      </c>
      <c r="I44" s="9">
        <v>16</v>
      </c>
      <c r="J44" s="1"/>
      <c r="K44" s="1"/>
      <c r="L44" s="1"/>
      <c r="M44" s="43" t="s">
        <v>24</v>
      </c>
      <c r="N44" s="9"/>
      <c r="O44" s="47" t="s">
        <v>166</v>
      </c>
      <c r="P44" s="47" t="s">
        <v>170</v>
      </c>
    </row>
    <row r="45" spans="1:20" x14ac:dyDescent="0.35">
      <c r="A45" s="12" t="s">
        <v>171</v>
      </c>
      <c r="B45" s="12" t="s">
        <v>429</v>
      </c>
      <c r="C45" s="59" t="s">
        <v>172</v>
      </c>
      <c r="D45" s="72"/>
      <c r="E45" s="2" t="s">
        <v>173</v>
      </c>
      <c r="F45" s="55" t="s">
        <v>174</v>
      </c>
      <c r="G45" s="29" t="s">
        <v>175</v>
      </c>
      <c r="H45" s="35" t="s">
        <v>176</v>
      </c>
      <c r="I45" s="9">
        <v>1</v>
      </c>
      <c r="J45" s="1"/>
      <c r="K45" s="1"/>
      <c r="L45" s="1"/>
      <c r="M45" s="43" t="s">
        <v>35</v>
      </c>
      <c r="N45" s="9" t="s">
        <v>177</v>
      </c>
      <c r="O45" s="47" t="s">
        <v>178</v>
      </c>
      <c r="P45" s="48" t="s">
        <v>179</v>
      </c>
      <c r="Q45" s="49" t="s">
        <v>35</v>
      </c>
      <c r="T45" s="49" t="s">
        <v>24</v>
      </c>
    </row>
    <row r="46" spans="1:20" x14ac:dyDescent="0.35">
      <c r="A46" s="15"/>
      <c r="B46" s="15"/>
      <c r="C46" s="29"/>
      <c r="D46" s="58"/>
      <c r="E46" s="2" t="s">
        <v>180</v>
      </c>
      <c r="F46" s="55" t="s">
        <v>181</v>
      </c>
      <c r="G46" s="29" t="s">
        <v>175</v>
      </c>
      <c r="H46" s="35" t="s">
        <v>176</v>
      </c>
      <c r="I46" s="9">
        <v>1</v>
      </c>
      <c r="J46" s="1"/>
      <c r="K46" s="1"/>
      <c r="L46" s="1"/>
      <c r="M46" s="43" t="s">
        <v>35</v>
      </c>
      <c r="N46" s="9" t="s">
        <v>177</v>
      </c>
      <c r="O46" s="47" t="s">
        <v>178</v>
      </c>
      <c r="P46" s="48" t="s">
        <v>182</v>
      </c>
      <c r="Q46" s="49" t="s">
        <v>35</v>
      </c>
      <c r="T46" s="49" t="s">
        <v>24</v>
      </c>
    </row>
    <row r="47" spans="1:20" x14ac:dyDescent="0.35">
      <c r="A47" s="13" t="s">
        <v>183</v>
      </c>
      <c r="B47" s="13" t="s">
        <v>429</v>
      </c>
      <c r="C47" s="29" t="s">
        <v>184</v>
      </c>
      <c r="D47" s="58"/>
      <c r="E47" s="2"/>
      <c r="F47" s="55"/>
      <c r="G47" s="29"/>
      <c r="H47" s="9"/>
      <c r="I47" s="9"/>
      <c r="J47" s="1"/>
      <c r="K47" s="1"/>
      <c r="L47" s="1"/>
      <c r="M47" s="43"/>
      <c r="N47" s="9"/>
      <c r="O47" s="47"/>
      <c r="P47" s="43"/>
    </row>
    <row r="48" spans="1:20" x14ac:dyDescent="0.35">
      <c r="A48" s="13" t="s">
        <v>185</v>
      </c>
      <c r="B48" s="13" t="s">
        <v>429</v>
      </c>
      <c r="C48" s="29" t="s">
        <v>186</v>
      </c>
      <c r="D48" s="58"/>
      <c r="E48" s="2"/>
      <c r="F48" s="55"/>
      <c r="G48" s="29"/>
      <c r="H48" s="9"/>
      <c r="I48" s="9"/>
      <c r="J48" s="1"/>
      <c r="K48" s="1"/>
      <c r="L48" s="1"/>
      <c r="M48" s="43"/>
      <c r="N48" s="9"/>
      <c r="O48" s="42"/>
      <c r="P48" s="43"/>
    </row>
    <row r="49" spans="1:20" x14ac:dyDescent="0.35">
      <c r="A49" s="13" t="s">
        <v>187</v>
      </c>
      <c r="B49" s="13" t="s">
        <v>429</v>
      </c>
      <c r="C49" s="29" t="s">
        <v>188</v>
      </c>
      <c r="D49" s="58"/>
      <c r="E49" s="2"/>
      <c r="F49" s="55"/>
      <c r="G49" s="29"/>
      <c r="H49" s="9"/>
      <c r="I49" s="9"/>
      <c r="J49" s="1"/>
      <c r="K49" s="1"/>
      <c r="L49" s="1"/>
      <c r="M49" s="43"/>
      <c r="N49" s="9"/>
      <c r="O49" s="42"/>
      <c r="P49" s="43"/>
    </row>
    <row r="50" spans="1:20" x14ac:dyDescent="0.35">
      <c r="A50" s="12" t="s">
        <v>189</v>
      </c>
      <c r="B50" s="12" t="s">
        <v>429</v>
      </c>
      <c r="C50" s="59" t="s">
        <v>190</v>
      </c>
      <c r="D50" s="72"/>
      <c r="E50" s="2"/>
      <c r="F50" s="55"/>
      <c r="G50" s="29"/>
      <c r="H50" s="9"/>
      <c r="I50" s="9"/>
      <c r="J50" s="1"/>
      <c r="K50" s="1"/>
      <c r="L50" s="1"/>
      <c r="M50" s="43"/>
      <c r="N50" s="9"/>
      <c r="O50" s="42"/>
      <c r="P50" s="43"/>
    </row>
    <row r="51" spans="1:20" x14ac:dyDescent="0.35">
      <c r="A51" s="13" t="s">
        <v>191</v>
      </c>
      <c r="B51" s="13" t="s">
        <v>429</v>
      </c>
      <c r="C51" s="29" t="s">
        <v>192</v>
      </c>
      <c r="D51" s="58"/>
      <c r="E51" s="2"/>
      <c r="F51" s="55"/>
      <c r="G51" s="29"/>
      <c r="H51" s="9"/>
      <c r="I51" s="9"/>
      <c r="J51" s="1"/>
      <c r="K51" s="1"/>
      <c r="L51" s="1"/>
      <c r="M51" s="43"/>
      <c r="N51" s="9"/>
      <c r="O51" s="42"/>
      <c r="P51" s="43"/>
    </row>
    <row r="52" spans="1:20" ht="29" x14ac:dyDescent="0.35">
      <c r="A52" s="14" t="s">
        <v>193</v>
      </c>
      <c r="B52" s="14"/>
      <c r="C52" s="29" t="s">
        <v>194</v>
      </c>
      <c r="D52" s="58"/>
      <c r="E52" s="2" t="s">
        <v>195</v>
      </c>
      <c r="F52" s="55" t="s">
        <v>196</v>
      </c>
      <c r="G52" s="29" t="s">
        <v>197</v>
      </c>
      <c r="H52" s="36" t="s">
        <v>198</v>
      </c>
      <c r="I52" s="10">
        <v>1</v>
      </c>
      <c r="J52" s="1"/>
      <c r="K52" s="1"/>
      <c r="L52" s="1"/>
      <c r="M52" s="43" t="s">
        <v>24</v>
      </c>
      <c r="N52" s="9"/>
      <c r="O52" s="47" t="s">
        <v>199</v>
      </c>
      <c r="P52" s="47" t="s">
        <v>200</v>
      </c>
      <c r="T52" s="46" t="s">
        <v>24</v>
      </c>
    </row>
    <row r="53" spans="1:20" x14ac:dyDescent="0.35">
      <c r="A53" s="14"/>
      <c r="B53" s="14"/>
      <c r="C53" s="29"/>
      <c r="D53" s="58"/>
      <c r="E53" s="2"/>
      <c r="F53" s="55" t="s">
        <v>201</v>
      </c>
      <c r="G53" s="29"/>
      <c r="H53" s="9"/>
      <c r="I53" s="10">
        <v>19</v>
      </c>
      <c r="J53" s="1"/>
      <c r="K53" s="1"/>
      <c r="L53" s="1"/>
      <c r="M53" s="43"/>
      <c r="N53" s="9"/>
      <c r="O53" s="47" t="s">
        <v>199</v>
      </c>
      <c r="P53" s="48" t="s">
        <v>202</v>
      </c>
    </row>
    <row r="54" spans="1:20" x14ac:dyDescent="0.35">
      <c r="A54" s="14"/>
      <c r="B54" s="14"/>
      <c r="C54" s="29"/>
      <c r="D54" s="58"/>
      <c r="E54" s="2"/>
      <c r="F54" s="55" t="s">
        <v>203</v>
      </c>
      <c r="G54" s="29"/>
      <c r="H54" s="9"/>
      <c r="I54" s="10">
        <v>6</v>
      </c>
      <c r="J54" s="1"/>
      <c r="K54" s="1"/>
      <c r="L54" s="1"/>
      <c r="M54" s="43"/>
      <c r="N54" s="9"/>
      <c r="O54" s="47" t="s">
        <v>199</v>
      </c>
      <c r="P54" s="71" t="s">
        <v>204</v>
      </c>
    </row>
    <row r="55" spans="1:20" x14ac:dyDescent="0.35">
      <c r="A55" s="14"/>
      <c r="B55" s="14"/>
      <c r="C55" s="29"/>
      <c r="D55" s="58"/>
      <c r="E55" s="2"/>
      <c r="F55" s="55" t="s">
        <v>205</v>
      </c>
      <c r="G55" s="29"/>
      <c r="H55" s="9"/>
      <c r="I55" s="10">
        <f>36+47</f>
        <v>83</v>
      </c>
      <c r="J55" s="1"/>
      <c r="K55" s="1"/>
      <c r="L55" s="1"/>
      <c r="M55" s="43"/>
      <c r="N55" s="9"/>
      <c r="O55" s="47" t="s">
        <v>199</v>
      </c>
      <c r="P55" s="71" t="s">
        <v>204</v>
      </c>
    </row>
    <row r="56" spans="1:20" x14ac:dyDescent="0.35">
      <c r="A56" s="14"/>
      <c r="B56" s="14"/>
      <c r="C56" s="29"/>
      <c r="D56" s="75" t="s">
        <v>556</v>
      </c>
      <c r="E56" s="2"/>
      <c r="F56" s="55"/>
      <c r="G56" s="29"/>
      <c r="H56" s="9"/>
      <c r="I56" s="10"/>
      <c r="J56" s="1"/>
      <c r="K56" s="1"/>
      <c r="L56" s="1"/>
      <c r="M56" s="43"/>
      <c r="N56" s="9"/>
      <c r="O56" s="42"/>
      <c r="P56" s="43"/>
    </row>
    <row r="57" spans="1:20" ht="29" x14ac:dyDescent="0.35">
      <c r="A57" s="14"/>
      <c r="B57" s="14"/>
      <c r="C57" s="29"/>
      <c r="D57" s="58"/>
      <c r="E57" s="2" t="s">
        <v>206</v>
      </c>
      <c r="F57" s="57" t="s">
        <v>207</v>
      </c>
      <c r="G57" s="29" t="s">
        <v>197</v>
      </c>
      <c r="H57" s="36" t="s">
        <v>198</v>
      </c>
      <c r="I57" s="10">
        <v>1</v>
      </c>
      <c r="J57" s="1"/>
      <c r="K57" s="1"/>
      <c r="L57" s="1"/>
      <c r="M57" s="43" t="s">
        <v>24</v>
      </c>
      <c r="N57" s="9"/>
      <c r="O57" s="47" t="s">
        <v>55</v>
      </c>
      <c r="P57" s="48" t="s">
        <v>208</v>
      </c>
    </row>
    <row r="58" spans="1:20" x14ac:dyDescent="0.35">
      <c r="A58" s="14"/>
      <c r="B58" s="14"/>
      <c r="C58" s="29"/>
      <c r="D58" s="58"/>
      <c r="E58" s="2" t="s">
        <v>209</v>
      </c>
      <c r="F58" s="55" t="s">
        <v>210</v>
      </c>
      <c r="G58" s="29" t="s">
        <v>33</v>
      </c>
      <c r="H58" s="35" t="s">
        <v>34</v>
      </c>
      <c r="I58" s="9">
        <v>1</v>
      </c>
      <c r="J58" s="1"/>
      <c r="K58" s="1"/>
      <c r="L58" s="1"/>
      <c r="M58" s="43" t="s">
        <v>35</v>
      </c>
      <c r="N58" s="9" t="s">
        <v>36</v>
      </c>
      <c r="O58" s="47" t="s">
        <v>37</v>
      </c>
      <c r="P58" s="48" t="s">
        <v>211</v>
      </c>
    </row>
    <row r="59" spans="1:20" x14ac:dyDescent="0.35">
      <c r="A59" s="16" t="s">
        <v>212</v>
      </c>
      <c r="B59" s="16"/>
      <c r="C59" s="29" t="s">
        <v>213</v>
      </c>
      <c r="D59" s="58"/>
      <c r="E59" s="2"/>
      <c r="F59" s="55"/>
      <c r="G59" s="29"/>
      <c r="H59" s="9"/>
      <c r="I59" s="9"/>
      <c r="J59" s="1"/>
      <c r="K59" s="1"/>
      <c r="L59" s="1"/>
      <c r="M59" s="43"/>
      <c r="N59" s="9"/>
      <c r="O59" s="42"/>
      <c r="P59" s="43"/>
    </row>
    <row r="60" spans="1:20" x14ac:dyDescent="0.35">
      <c r="A60" s="16" t="s">
        <v>214</v>
      </c>
      <c r="B60" s="16"/>
      <c r="C60" s="29" t="s">
        <v>215</v>
      </c>
      <c r="D60" s="58"/>
      <c r="E60" s="2"/>
      <c r="F60" s="55"/>
      <c r="G60" s="29"/>
      <c r="H60" s="9"/>
      <c r="I60" s="9"/>
      <c r="J60" s="1"/>
      <c r="K60" s="1"/>
      <c r="L60" s="1"/>
      <c r="M60" s="43"/>
      <c r="N60" s="9"/>
      <c r="O60" s="42"/>
      <c r="P60" s="43"/>
    </row>
    <row r="61" spans="1:20" x14ac:dyDescent="0.35">
      <c r="A61" s="16" t="s">
        <v>216</v>
      </c>
      <c r="B61" s="16"/>
      <c r="C61" s="29" t="s">
        <v>217</v>
      </c>
      <c r="D61" s="58"/>
      <c r="E61" s="2"/>
      <c r="F61" s="55"/>
      <c r="G61" s="29"/>
      <c r="H61" s="9"/>
      <c r="I61" s="9"/>
      <c r="J61" s="1"/>
      <c r="K61" s="1"/>
      <c r="L61" s="1"/>
      <c r="M61" s="43"/>
      <c r="N61" s="9"/>
      <c r="O61" s="42"/>
      <c r="P61" s="43"/>
    </row>
    <row r="62" spans="1:20" x14ac:dyDescent="0.35">
      <c r="A62" s="16" t="s">
        <v>218</v>
      </c>
      <c r="B62" s="16"/>
      <c r="C62" s="29" t="s">
        <v>219</v>
      </c>
      <c r="D62" s="58"/>
      <c r="E62" s="2"/>
      <c r="F62" s="55"/>
      <c r="G62" s="29"/>
      <c r="H62" s="9"/>
      <c r="I62" s="9"/>
      <c r="J62" s="1"/>
      <c r="K62" s="1"/>
      <c r="L62" s="1"/>
      <c r="M62" s="43"/>
      <c r="N62" s="9"/>
      <c r="O62" s="42"/>
      <c r="P62" s="43"/>
    </row>
    <row r="63" spans="1:20" x14ac:dyDescent="0.35">
      <c r="A63" s="16" t="s">
        <v>220</v>
      </c>
      <c r="B63" s="16"/>
      <c r="C63" s="29" t="s">
        <v>221</v>
      </c>
      <c r="D63" s="58"/>
      <c r="E63" s="2"/>
      <c r="F63" s="55"/>
      <c r="G63" s="29"/>
      <c r="H63" s="9"/>
      <c r="I63" s="9"/>
      <c r="J63" s="1"/>
      <c r="K63" s="1"/>
      <c r="L63" s="1"/>
      <c r="M63" s="43"/>
      <c r="N63" s="9"/>
      <c r="O63" s="42"/>
      <c r="P63" s="43"/>
    </row>
    <row r="64" spans="1:20" x14ac:dyDescent="0.35">
      <c r="A64" s="16" t="s">
        <v>222</v>
      </c>
      <c r="B64" s="16"/>
      <c r="C64" s="29" t="s">
        <v>223</v>
      </c>
      <c r="D64" s="58"/>
      <c r="E64" s="2"/>
      <c r="F64" s="55"/>
      <c r="G64" s="29"/>
      <c r="H64" s="9"/>
      <c r="I64" s="9"/>
      <c r="J64" s="1"/>
      <c r="K64" s="1"/>
      <c r="L64" s="1"/>
      <c r="M64" s="43"/>
      <c r="N64" s="9"/>
      <c r="O64" s="42"/>
      <c r="P64" s="43"/>
    </row>
    <row r="65" spans="1:20" x14ac:dyDescent="0.35">
      <c r="A65" s="16" t="s">
        <v>224</v>
      </c>
      <c r="B65" s="16"/>
      <c r="C65" s="29" t="s">
        <v>225</v>
      </c>
      <c r="D65" s="58"/>
      <c r="E65" s="2"/>
      <c r="F65" s="55"/>
      <c r="G65" s="29"/>
      <c r="H65" s="9"/>
      <c r="I65" s="9"/>
      <c r="J65" s="1"/>
      <c r="K65" s="1"/>
      <c r="L65" s="1"/>
      <c r="M65" s="43"/>
      <c r="N65" s="9"/>
      <c r="O65" s="42"/>
      <c r="P65" s="43"/>
    </row>
    <row r="66" spans="1:20" x14ac:dyDescent="0.35">
      <c r="A66" s="14" t="s">
        <v>226</v>
      </c>
      <c r="B66" s="14"/>
      <c r="C66" s="29" t="s">
        <v>227</v>
      </c>
      <c r="D66" s="58"/>
      <c r="E66" s="2"/>
      <c r="F66" s="55"/>
      <c r="G66" s="29"/>
      <c r="H66" s="9"/>
      <c r="I66" s="9"/>
      <c r="J66" s="1"/>
      <c r="K66" s="1"/>
      <c r="L66" s="1"/>
      <c r="M66" s="43"/>
      <c r="N66" s="9"/>
      <c r="O66" s="42"/>
      <c r="P66" s="43"/>
    </row>
    <row r="67" spans="1:20" x14ac:dyDescent="0.35">
      <c r="A67" s="16" t="s">
        <v>228</v>
      </c>
      <c r="B67" s="16"/>
      <c r="C67" s="29" t="s">
        <v>229</v>
      </c>
      <c r="D67" s="58"/>
      <c r="E67" s="2" t="s">
        <v>230</v>
      </c>
      <c r="F67" s="55" t="s">
        <v>231</v>
      </c>
      <c r="G67" s="29" t="s">
        <v>232</v>
      </c>
      <c r="H67" s="35" t="s">
        <v>233</v>
      </c>
      <c r="I67" s="9">
        <v>1</v>
      </c>
      <c r="J67" s="1"/>
      <c r="K67" s="1"/>
      <c r="L67" s="1"/>
      <c r="M67" s="43" t="s">
        <v>24</v>
      </c>
      <c r="N67" s="9"/>
      <c r="O67" s="47" t="s">
        <v>234</v>
      </c>
      <c r="P67" s="48" t="s">
        <v>235</v>
      </c>
      <c r="T67" s="46" t="s">
        <v>24</v>
      </c>
    </row>
    <row r="68" spans="1:20" x14ac:dyDescent="0.35">
      <c r="A68" s="16"/>
      <c r="B68" s="16"/>
      <c r="C68" s="29"/>
      <c r="D68" s="58"/>
      <c r="E68" s="2" t="s">
        <v>230</v>
      </c>
      <c r="F68" s="55" t="s">
        <v>236</v>
      </c>
      <c r="G68" s="29" t="s">
        <v>232</v>
      </c>
      <c r="H68" s="35" t="s">
        <v>233</v>
      </c>
      <c r="I68" s="9">
        <v>13</v>
      </c>
      <c r="J68" s="1"/>
      <c r="K68" s="1"/>
      <c r="L68" s="1"/>
      <c r="M68" s="43" t="s">
        <v>24</v>
      </c>
      <c r="N68" s="9"/>
      <c r="O68" s="47" t="s">
        <v>234</v>
      </c>
      <c r="P68" s="48" t="s">
        <v>237</v>
      </c>
      <c r="T68" s="46" t="s">
        <v>24</v>
      </c>
    </row>
    <row r="69" spans="1:20" x14ac:dyDescent="0.35">
      <c r="A69" s="16" t="s">
        <v>238</v>
      </c>
      <c r="B69" s="16"/>
      <c r="C69" s="29" t="s">
        <v>225</v>
      </c>
      <c r="D69" s="58"/>
      <c r="E69" s="2" t="s">
        <v>230</v>
      </c>
      <c r="F69" s="55" t="s">
        <v>239</v>
      </c>
      <c r="G69" s="29" t="s">
        <v>232</v>
      </c>
      <c r="H69" s="35" t="s">
        <v>233</v>
      </c>
      <c r="I69" s="9">
        <v>89</v>
      </c>
      <c r="J69" s="1"/>
      <c r="K69" s="1"/>
      <c r="L69" s="1"/>
      <c r="M69" s="43" t="s">
        <v>24</v>
      </c>
      <c r="N69" s="9"/>
      <c r="O69" s="47" t="s">
        <v>55</v>
      </c>
      <c r="P69" s="48" t="s">
        <v>240</v>
      </c>
      <c r="T69" s="46" t="s">
        <v>24</v>
      </c>
    </row>
    <row r="70" spans="1:20" x14ac:dyDescent="0.35">
      <c r="A70" s="16" t="s">
        <v>241</v>
      </c>
      <c r="B70" s="16"/>
      <c r="C70" s="29" t="s">
        <v>242</v>
      </c>
      <c r="D70" s="58"/>
      <c r="E70" s="2" t="s">
        <v>230</v>
      </c>
      <c r="F70" s="55" t="s">
        <v>243</v>
      </c>
      <c r="G70" s="29" t="s">
        <v>232</v>
      </c>
      <c r="H70" s="35" t="s">
        <v>233</v>
      </c>
      <c r="I70" s="9">
        <v>64</v>
      </c>
      <c r="J70" s="1"/>
      <c r="K70" s="1"/>
      <c r="L70" s="1"/>
      <c r="M70" s="43" t="s">
        <v>24</v>
      </c>
      <c r="N70" s="9"/>
      <c r="O70" s="47" t="s">
        <v>55</v>
      </c>
      <c r="P70" s="48" t="s">
        <v>208</v>
      </c>
    </row>
    <row r="71" spans="1:20" x14ac:dyDescent="0.35">
      <c r="A71" s="16"/>
      <c r="B71" s="16"/>
      <c r="C71" s="29"/>
      <c r="D71" s="58"/>
      <c r="E71" s="2" t="s">
        <v>230</v>
      </c>
      <c r="F71" s="55" t="s">
        <v>244</v>
      </c>
      <c r="G71" s="29" t="s">
        <v>232</v>
      </c>
      <c r="H71" s="35" t="s">
        <v>233</v>
      </c>
      <c r="I71" s="9">
        <v>11</v>
      </c>
      <c r="J71" s="1"/>
      <c r="K71" s="1"/>
      <c r="L71" s="1"/>
      <c r="M71" s="43" t="s">
        <v>24</v>
      </c>
      <c r="N71" s="9"/>
      <c r="O71" s="47" t="s">
        <v>234</v>
      </c>
      <c r="P71" s="48" t="s">
        <v>245</v>
      </c>
      <c r="T71" s="46" t="s">
        <v>24</v>
      </c>
    </row>
    <row r="72" spans="1:20" x14ac:dyDescent="0.35">
      <c r="A72" s="16"/>
      <c r="B72" s="16"/>
      <c r="C72" s="29"/>
      <c r="D72" s="58"/>
      <c r="E72" s="2" t="s">
        <v>230</v>
      </c>
      <c r="F72" s="55" t="s">
        <v>246</v>
      </c>
      <c r="G72" s="29" t="s">
        <v>232</v>
      </c>
      <c r="H72" s="35" t="s">
        <v>233</v>
      </c>
      <c r="I72" s="9">
        <v>16</v>
      </c>
      <c r="J72" s="1"/>
      <c r="K72" s="1"/>
      <c r="L72" s="1"/>
      <c r="M72" s="43" t="s">
        <v>24</v>
      </c>
      <c r="N72" s="9"/>
      <c r="O72" s="47" t="s">
        <v>55</v>
      </c>
      <c r="P72" s="48" t="s">
        <v>240</v>
      </c>
    </row>
    <row r="73" spans="1:20" x14ac:dyDescent="0.35">
      <c r="A73" s="16"/>
      <c r="B73" s="16"/>
      <c r="C73" s="29"/>
      <c r="D73" s="58"/>
      <c r="E73" s="2" t="s">
        <v>230</v>
      </c>
      <c r="F73" s="55" t="s">
        <v>247</v>
      </c>
      <c r="G73" s="29" t="s">
        <v>232</v>
      </c>
      <c r="H73" s="35" t="s">
        <v>233</v>
      </c>
      <c r="I73" s="9">
        <v>4</v>
      </c>
      <c r="J73" s="1"/>
      <c r="K73" s="1"/>
      <c r="L73" s="1"/>
      <c r="M73" s="43" t="s">
        <v>24</v>
      </c>
      <c r="N73" s="9"/>
      <c r="O73" s="47" t="s">
        <v>55</v>
      </c>
      <c r="P73" s="48" t="s">
        <v>240</v>
      </c>
    </row>
    <row r="74" spans="1:20" x14ac:dyDescent="0.35">
      <c r="A74" s="16"/>
      <c r="B74" s="16"/>
      <c r="C74" s="29"/>
      <c r="D74" s="58"/>
      <c r="E74" s="2" t="s">
        <v>230</v>
      </c>
      <c r="F74" s="55" t="s">
        <v>248</v>
      </c>
      <c r="G74" s="29" t="s">
        <v>232</v>
      </c>
      <c r="H74" s="35" t="s">
        <v>233</v>
      </c>
      <c r="I74" s="9">
        <v>1</v>
      </c>
      <c r="J74" s="1"/>
      <c r="K74" s="1"/>
      <c r="L74" s="1"/>
      <c r="M74" s="43" t="s">
        <v>24</v>
      </c>
      <c r="N74" s="9"/>
      <c r="O74" s="47" t="s">
        <v>234</v>
      </c>
      <c r="P74" s="60" t="s">
        <v>249</v>
      </c>
      <c r="T74" s="46" t="s">
        <v>24</v>
      </c>
    </row>
    <row r="75" spans="1:20" x14ac:dyDescent="0.35">
      <c r="A75" s="14" t="s">
        <v>250</v>
      </c>
      <c r="B75" s="14"/>
      <c r="C75" s="29" t="s">
        <v>251</v>
      </c>
      <c r="D75" s="58"/>
      <c r="E75" s="2"/>
      <c r="F75" s="55"/>
      <c r="G75" s="29"/>
      <c r="H75" s="9"/>
      <c r="I75" s="9"/>
      <c r="J75" s="1"/>
      <c r="K75" s="1"/>
      <c r="L75" s="1"/>
      <c r="M75" s="43"/>
      <c r="N75" s="9"/>
      <c r="O75" s="42"/>
      <c r="P75" s="43"/>
    </row>
    <row r="76" spans="1:20" x14ac:dyDescent="0.35">
      <c r="A76" s="14" t="s">
        <v>252</v>
      </c>
      <c r="B76" s="14"/>
      <c r="C76" s="29" t="s">
        <v>253</v>
      </c>
      <c r="D76" s="58"/>
      <c r="E76" s="2"/>
      <c r="F76" s="55"/>
      <c r="G76" s="29"/>
      <c r="H76" s="9"/>
      <c r="I76" s="9"/>
      <c r="J76" s="1"/>
      <c r="K76" s="1"/>
      <c r="L76" s="1"/>
      <c r="M76" s="43"/>
      <c r="N76" s="9"/>
      <c r="O76" s="42"/>
      <c r="P76" s="43"/>
    </row>
    <row r="77" spans="1:20" x14ac:dyDescent="0.35">
      <c r="A77" s="14" t="s">
        <v>254</v>
      </c>
      <c r="B77" s="14"/>
      <c r="C77" s="29" t="s">
        <v>255</v>
      </c>
      <c r="D77" s="58"/>
      <c r="E77" s="2"/>
      <c r="F77" s="55"/>
      <c r="G77" s="29"/>
      <c r="H77" s="9"/>
      <c r="I77" s="9"/>
      <c r="J77" s="1"/>
      <c r="K77" s="1"/>
      <c r="L77" s="1"/>
      <c r="M77" s="43"/>
      <c r="N77" s="9"/>
      <c r="O77" s="42"/>
      <c r="P77" s="43"/>
    </row>
    <row r="78" spans="1:20" x14ac:dyDescent="0.35">
      <c r="A78" s="14" t="s">
        <v>256</v>
      </c>
      <c r="B78" s="14"/>
      <c r="C78" s="29" t="s">
        <v>257</v>
      </c>
      <c r="D78" s="58"/>
      <c r="E78" s="2"/>
      <c r="F78" s="55"/>
      <c r="G78" s="29"/>
      <c r="H78" s="9"/>
      <c r="I78" s="9"/>
      <c r="J78" s="1"/>
      <c r="K78" s="1"/>
      <c r="L78" s="1"/>
      <c r="M78" s="43"/>
      <c r="N78" s="9"/>
      <c r="O78" s="42"/>
      <c r="P78" s="43"/>
    </row>
    <row r="79" spans="1:20" x14ac:dyDescent="0.35">
      <c r="A79" s="14" t="s">
        <v>258</v>
      </c>
      <c r="B79" s="14"/>
      <c r="C79" s="29" t="s">
        <v>259</v>
      </c>
      <c r="D79" s="58"/>
      <c r="E79" s="2"/>
      <c r="F79" s="55"/>
      <c r="G79" s="29"/>
      <c r="H79" s="9"/>
      <c r="I79" s="9"/>
      <c r="J79" s="1"/>
      <c r="K79" s="1"/>
      <c r="L79" s="1"/>
      <c r="M79" s="43"/>
      <c r="N79" s="9"/>
      <c r="O79" s="42"/>
      <c r="P79" s="43"/>
    </row>
    <row r="80" spans="1:20" x14ac:dyDescent="0.35">
      <c r="A80" s="13" t="s">
        <v>260</v>
      </c>
      <c r="B80" s="13"/>
      <c r="C80" s="29" t="s">
        <v>261</v>
      </c>
      <c r="D80" s="58"/>
      <c r="E80" s="2"/>
      <c r="F80" s="55"/>
      <c r="G80" s="29"/>
      <c r="H80" s="9"/>
      <c r="I80" s="9"/>
      <c r="J80" s="1"/>
      <c r="K80" s="1"/>
      <c r="L80" s="1"/>
      <c r="M80" s="43"/>
      <c r="N80" s="9"/>
      <c r="O80" s="42"/>
      <c r="P80" s="43"/>
    </row>
    <row r="81" spans="1:20" x14ac:dyDescent="0.35">
      <c r="A81" s="14" t="s">
        <v>262</v>
      </c>
      <c r="B81" s="14"/>
      <c r="C81" s="29" t="s">
        <v>184</v>
      </c>
      <c r="D81" s="58"/>
      <c r="E81" s="2" t="s">
        <v>263</v>
      </c>
      <c r="F81" s="55" t="s">
        <v>264</v>
      </c>
      <c r="G81" s="29" t="s">
        <v>265</v>
      </c>
      <c r="H81" s="35" t="s">
        <v>266</v>
      </c>
      <c r="I81" s="9">
        <v>1</v>
      </c>
      <c r="J81" s="1"/>
      <c r="K81" s="1"/>
      <c r="L81" s="1"/>
      <c r="M81" s="43" t="s">
        <v>24</v>
      </c>
      <c r="N81" s="9"/>
      <c r="O81" s="47" t="s">
        <v>267</v>
      </c>
      <c r="P81" s="47" t="s">
        <v>268</v>
      </c>
      <c r="T81" s="46" t="s">
        <v>24</v>
      </c>
    </row>
    <row r="82" spans="1:20" x14ac:dyDescent="0.35">
      <c r="A82" s="14" t="s">
        <v>269</v>
      </c>
      <c r="B82" s="14"/>
      <c r="C82" s="29" t="s">
        <v>270</v>
      </c>
      <c r="D82" s="58"/>
      <c r="E82" s="2" t="s">
        <v>271</v>
      </c>
      <c r="F82" s="55" t="s">
        <v>272</v>
      </c>
      <c r="G82" s="29" t="s">
        <v>265</v>
      </c>
      <c r="H82" s="35" t="s">
        <v>266</v>
      </c>
      <c r="I82" s="9">
        <v>1</v>
      </c>
      <c r="J82" s="1"/>
      <c r="K82" s="1"/>
      <c r="L82" s="1"/>
      <c r="M82" s="43" t="s">
        <v>24</v>
      </c>
      <c r="N82" s="9"/>
      <c r="O82" s="47" t="s">
        <v>267</v>
      </c>
      <c r="P82" s="47" t="s">
        <v>273</v>
      </c>
      <c r="T82" s="46" t="s">
        <v>24</v>
      </c>
    </row>
    <row r="83" spans="1:20" x14ac:dyDescent="0.35">
      <c r="A83" s="14"/>
      <c r="B83" s="14"/>
      <c r="C83" s="29"/>
      <c r="D83" s="58"/>
      <c r="E83" s="2"/>
      <c r="F83" s="55" t="s">
        <v>274</v>
      </c>
      <c r="G83" s="29"/>
      <c r="H83" s="9"/>
      <c r="I83" s="9">
        <v>26</v>
      </c>
      <c r="J83" s="1"/>
      <c r="K83" s="1"/>
      <c r="L83" s="1"/>
      <c r="M83" s="43"/>
      <c r="N83" s="9"/>
      <c r="O83" s="42"/>
      <c r="P83" s="43"/>
    </row>
    <row r="84" spans="1:20" x14ac:dyDescent="0.35">
      <c r="A84" s="14" t="s">
        <v>275</v>
      </c>
      <c r="B84" s="14"/>
      <c r="C84" s="29" t="s">
        <v>276</v>
      </c>
      <c r="D84" s="58"/>
      <c r="E84" s="2" t="s">
        <v>277</v>
      </c>
      <c r="F84" s="55" t="s">
        <v>278</v>
      </c>
      <c r="G84" s="29" t="s">
        <v>265</v>
      </c>
      <c r="H84" s="35" t="s">
        <v>266</v>
      </c>
      <c r="I84" s="9">
        <v>1</v>
      </c>
      <c r="J84" s="1"/>
      <c r="K84" s="1"/>
      <c r="L84" s="1"/>
      <c r="M84" s="43" t="s">
        <v>24</v>
      </c>
      <c r="N84" s="9"/>
      <c r="O84" s="47" t="s">
        <v>279</v>
      </c>
      <c r="P84" s="48" t="s">
        <v>280</v>
      </c>
      <c r="T84" s="46" t="s">
        <v>24</v>
      </c>
    </row>
    <row r="85" spans="1:20" x14ac:dyDescent="0.35">
      <c r="A85" s="14" t="s">
        <v>281</v>
      </c>
      <c r="B85" s="14"/>
      <c r="C85" s="29" t="s">
        <v>282</v>
      </c>
      <c r="D85" s="58"/>
      <c r="E85" s="2" t="s">
        <v>283</v>
      </c>
      <c r="F85" s="55" t="s">
        <v>284</v>
      </c>
      <c r="G85" s="29" t="s">
        <v>265</v>
      </c>
      <c r="H85" s="35" t="s">
        <v>266</v>
      </c>
      <c r="I85" s="9">
        <v>1</v>
      </c>
      <c r="J85" s="1"/>
      <c r="K85" s="1"/>
      <c r="L85" s="1"/>
      <c r="M85" s="43" t="s">
        <v>24</v>
      </c>
      <c r="N85" s="9"/>
      <c r="O85" s="47" t="s">
        <v>279</v>
      </c>
      <c r="P85" s="48" t="s">
        <v>285</v>
      </c>
      <c r="T85" s="46" t="s">
        <v>24</v>
      </c>
    </row>
    <row r="86" spans="1:20" x14ac:dyDescent="0.35">
      <c r="A86" s="14" t="s">
        <v>286</v>
      </c>
      <c r="B86" s="14"/>
      <c r="C86" s="29" t="s">
        <v>287</v>
      </c>
      <c r="D86" s="58"/>
      <c r="E86" s="2" t="s">
        <v>288</v>
      </c>
      <c r="F86" s="55" t="s">
        <v>289</v>
      </c>
      <c r="G86" s="29" t="s">
        <v>22</v>
      </c>
      <c r="H86" s="35" t="s">
        <v>23</v>
      </c>
      <c r="I86" s="9">
        <v>1</v>
      </c>
      <c r="J86" s="1"/>
      <c r="K86" s="1"/>
      <c r="L86" s="1"/>
      <c r="M86" s="43" t="s">
        <v>24</v>
      </c>
      <c r="N86" s="9"/>
      <c r="O86" s="47" t="s">
        <v>25</v>
      </c>
      <c r="P86" s="48" t="s">
        <v>290</v>
      </c>
      <c r="T86" s="46" t="s">
        <v>24</v>
      </c>
    </row>
    <row r="87" spans="1:20" x14ac:dyDescent="0.35">
      <c r="A87" s="14" t="s">
        <v>291</v>
      </c>
      <c r="B87" s="14"/>
      <c r="C87" s="29" t="s">
        <v>292</v>
      </c>
      <c r="D87" s="58"/>
      <c r="E87" s="2"/>
      <c r="F87" s="55"/>
      <c r="G87" s="29"/>
      <c r="H87" s="9"/>
      <c r="I87" s="9"/>
      <c r="J87" s="1"/>
      <c r="K87" s="1"/>
      <c r="L87" s="1"/>
      <c r="M87" s="43"/>
      <c r="N87" s="9"/>
      <c r="O87" s="42"/>
      <c r="P87" s="43"/>
    </row>
    <row r="88" spans="1:20" x14ac:dyDescent="0.35">
      <c r="A88" s="14" t="s">
        <v>293</v>
      </c>
      <c r="B88" s="14"/>
      <c r="C88" s="29" t="s">
        <v>294</v>
      </c>
      <c r="D88" s="58"/>
      <c r="E88" s="2"/>
      <c r="F88" s="55"/>
      <c r="G88" s="29"/>
      <c r="H88" s="9"/>
      <c r="I88" s="9"/>
      <c r="J88" s="1"/>
      <c r="K88" s="1"/>
      <c r="L88" s="1"/>
      <c r="M88" s="43"/>
      <c r="N88" s="9"/>
      <c r="O88" s="42"/>
      <c r="P88" s="43"/>
    </row>
    <row r="89" spans="1:20" x14ac:dyDescent="0.35">
      <c r="A89" s="13" t="s">
        <v>295</v>
      </c>
      <c r="B89" s="13"/>
      <c r="C89" s="29" t="s">
        <v>296</v>
      </c>
      <c r="D89" s="58"/>
      <c r="E89" s="2" t="s">
        <v>297</v>
      </c>
      <c r="F89" s="55" t="s">
        <v>298</v>
      </c>
      <c r="G89" s="29" t="s">
        <v>296</v>
      </c>
      <c r="H89" s="35" t="s">
        <v>77</v>
      </c>
      <c r="I89" s="9">
        <v>1</v>
      </c>
      <c r="J89" s="1"/>
      <c r="K89" s="1"/>
      <c r="L89" s="1"/>
      <c r="M89" s="43" t="s">
        <v>24</v>
      </c>
      <c r="N89" s="9"/>
      <c r="O89" s="47" t="s">
        <v>299</v>
      </c>
      <c r="P89" s="48" t="s">
        <v>300</v>
      </c>
    </row>
    <row r="90" spans="1:20" x14ac:dyDescent="0.35">
      <c r="A90" s="14" t="s">
        <v>301</v>
      </c>
      <c r="B90" s="14"/>
      <c r="C90" s="29" t="s">
        <v>302</v>
      </c>
      <c r="D90" s="58"/>
      <c r="E90" s="2" t="s">
        <v>206</v>
      </c>
      <c r="F90" s="55" t="s">
        <v>302</v>
      </c>
      <c r="G90" s="29" t="s">
        <v>303</v>
      </c>
      <c r="H90" s="35" t="s">
        <v>77</v>
      </c>
      <c r="I90" s="9">
        <v>1</v>
      </c>
      <c r="J90" s="1"/>
      <c r="K90" s="1"/>
      <c r="L90" s="1"/>
      <c r="M90" s="43" t="s">
        <v>35</v>
      </c>
      <c r="N90" s="9" t="s">
        <v>78</v>
      </c>
      <c r="O90" s="47" t="s">
        <v>304</v>
      </c>
      <c r="P90" s="48" t="s">
        <v>208</v>
      </c>
    </row>
    <row r="91" spans="1:20" x14ac:dyDescent="0.35">
      <c r="A91" s="14" t="s">
        <v>305</v>
      </c>
      <c r="B91" s="14"/>
      <c r="C91" s="29" t="s">
        <v>306</v>
      </c>
      <c r="D91" s="58"/>
      <c r="E91" s="2" t="s">
        <v>307</v>
      </c>
      <c r="F91" s="55" t="s">
        <v>308</v>
      </c>
      <c r="G91" s="29" t="s">
        <v>308</v>
      </c>
      <c r="H91" s="35" t="s">
        <v>309</v>
      </c>
      <c r="I91" s="9">
        <v>1</v>
      </c>
      <c r="J91" s="1"/>
      <c r="K91" s="1"/>
      <c r="L91" s="1"/>
      <c r="M91" s="48" t="s">
        <v>24</v>
      </c>
      <c r="N91" s="9"/>
      <c r="O91" s="47" t="s">
        <v>310</v>
      </c>
      <c r="P91" s="48" t="s">
        <v>311</v>
      </c>
    </row>
    <row r="92" spans="1:20" ht="29" x14ac:dyDescent="0.35">
      <c r="A92" s="14"/>
      <c r="B92" s="14"/>
      <c r="C92" s="29"/>
      <c r="D92" s="58"/>
      <c r="E92" s="2"/>
      <c r="F92" s="55" t="s">
        <v>312</v>
      </c>
      <c r="G92" s="29"/>
      <c r="H92" s="9"/>
      <c r="I92" s="9">
        <v>24</v>
      </c>
      <c r="J92" s="1"/>
      <c r="K92" s="1"/>
      <c r="L92" s="1"/>
      <c r="M92" s="43"/>
      <c r="N92" s="9"/>
      <c r="O92" s="42"/>
      <c r="P92" s="70" t="s">
        <v>313</v>
      </c>
    </row>
    <row r="93" spans="1:20" x14ac:dyDescent="0.35">
      <c r="A93" s="16" t="s">
        <v>314</v>
      </c>
      <c r="B93" s="16"/>
      <c r="C93" s="29" t="s">
        <v>186</v>
      </c>
      <c r="D93" s="58"/>
      <c r="E93" s="2"/>
      <c r="F93" s="55"/>
      <c r="G93" s="29"/>
      <c r="H93" s="9"/>
      <c r="I93" s="9"/>
      <c r="J93" s="1"/>
      <c r="K93" s="1"/>
      <c r="L93" s="1"/>
      <c r="M93" s="43"/>
      <c r="N93" s="9"/>
      <c r="O93" s="42"/>
      <c r="P93" s="43"/>
    </row>
    <row r="94" spans="1:20" x14ac:dyDescent="0.35">
      <c r="A94" s="16" t="s">
        <v>315</v>
      </c>
      <c r="B94" s="16"/>
      <c r="C94" s="29" t="s">
        <v>316</v>
      </c>
      <c r="D94" s="58"/>
      <c r="E94" s="2"/>
      <c r="F94" s="55"/>
      <c r="G94" s="29"/>
      <c r="H94" s="9"/>
      <c r="I94" s="9"/>
      <c r="J94" s="1"/>
      <c r="K94" s="1"/>
      <c r="L94" s="1"/>
      <c r="M94" s="43"/>
      <c r="N94" s="9"/>
      <c r="O94" s="42"/>
      <c r="P94" s="43"/>
    </row>
    <row r="95" spans="1:20" x14ac:dyDescent="0.35">
      <c r="A95" s="14" t="s">
        <v>317</v>
      </c>
      <c r="B95" s="14"/>
      <c r="C95" s="29" t="s">
        <v>318</v>
      </c>
      <c r="D95" s="58"/>
      <c r="E95" s="2" t="s">
        <v>319</v>
      </c>
      <c r="F95" s="55" t="s">
        <v>320</v>
      </c>
      <c r="G95" s="29" t="s">
        <v>321</v>
      </c>
      <c r="H95" s="35" t="s">
        <v>322</v>
      </c>
      <c r="I95" s="9">
        <v>1</v>
      </c>
      <c r="J95" s="1"/>
      <c r="K95" s="1"/>
      <c r="L95" s="1"/>
      <c r="M95" s="43" t="s">
        <v>24</v>
      </c>
      <c r="N95" s="9" t="s">
        <v>323</v>
      </c>
      <c r="O95" s="47" t="s">
        <v>324</v>
      </c>
      <c r="P95" s="48" t="s">
        <v>325</v>
      </c>
      <c r="Q95" s="49" t="s">
        <v>24</v>
      </c>
      <c r="T95" s="46" t="s">
        <v>24</v>
      </c>
    </row>
    <row r="96" spans="1:20" x14ac:dyDescent="0.35">
      <c r="A96" s="14"/>
      <c r="B96" s="14"/>
      <c r="C96" s="29"/>
      <c r="D96" s="58"/>
      <c r="E96" s="2"/>
      <c r="F96" s="55" t="s">
        <v>326</v>
      </c>
      <c r="G96" s="29"/>
      <c r="H96" s="9"/>
      <c r="I96" s="9">
        <v>54</v>
      </c>
      <c r="J96" s="1"/>
      <c r="K96" s="1"/>
      <c r="L96" s="1"/>
      <c r="M96" s="43"/>
      <c r="N96" s="9"/>
      <c r="O96" s="47" t="s">
        <v>324</v>
      </c>
      <c r="P96" s="48" t="s">
        <v>208</v>
      </c>
      <c r="Q96" s="49" t="s">
        <v>24</v>
      </c>
      <c r="T96" s="46" t="s">
        <v>24</v>
      </c>
    </row>
    <row r="97" spans="1:20" x14ac:dyDescent="0.35">
      <c r="A97" s="16" t="s">
        <v>327</v>
      </c>
      <c r="B97" s="16"/>
      <c r="C97" s="29" t="s">
        <v>328</v>
      </c>
      <c r="D97" s="58"/>
      <c r="E97" s="2"/>
      <c r="F97" s="55"/>
      <c r="G97" s="29"/>
      <c r="H97" s="9"/>
      <c r="I97" s="9"/>
      <c r="J97" s="1"/>
      <c r="K97" s="1"/>
      <c r="L97" s="1"/>
      <c r="M97" s="43"/>
      <c r="N97" s="9"/>
      <c r="O97" s="42"/>
      <c r="P97" s="43"/>
    </row>
    <row r="98" spans="1:20" x14ac:dyDescent="0.35">
      <c r="A98" s="16" t="s">
        <v>329</v>
      </c>
      <c r="B98" s="16"/>
      <c r="C98" s="29" t="s">
        <v>186</v>
      </c>
      <c r="D98" s="58"/>
      <c r="E98" s="2"/>
      <c r="F98" s="55"/>
      <c r="G98" s="29"/>
      <c r="H98" s="9"/>
      <c r="I98" s="9"/>
      <c r="J98" s="1"/>
      <c r="K98" s="1"/>
      <c r="L98" s="1"/>
      <c r="M98" s="43"/>
      <c r="N98" s="9"/>
      <c r="O98" s="42"/>
      <c r="P98" s="43"/>
    </row>
    <row r="99" spans="1:20" x14ac:dyDescent="0.35">
      <c r="A99" s="16" t="s">
        <v>330</v>
      </c>
      <c r="B99" s="16"/>
      <c r="C99" s="29" t="s">
        <v>316</v>
      </c>
      <c r="D99" s="58"/>
      <c r="E99" s="2"/>
      <c r="F99" s="55"/>
      <c r="G99" s="29"/>
      <c r="H99" s="9"/>
      <c r="I99" s="9"/>
      <c r="J99" s="1"/>
      <c r="K99" s="1"/>
      <c r="L99" s="1"/>
      <c r="M99" s="43"/>
      <c r="N99" s="9"/>
      <c r="O99" s="42"/>
      <c r="P99" s="43"/>
    </row>
    <row r="100" spans="1:20" ht="43.5" x14ac:dyDescent="0.35">
      <c r="A100" s="14" t="s">
        <v>331</v>
      </c>
      <c r="B100" s="14"/>
      <c r="C100" s="29" t="s">
        <v>332</v>
      </c>
      <c r="D100" s="58"/>
      <c r="E100" s="2" t="s">
        <v>333</v>
      </c>
      <c r="F100" s="55" t="s">
        <v>334</v>
      </c>
      <c r="G100" s="29" t="s">
        <v>144</v>
      </c>
      <c r="H100" s="36" t="s">
        <v>145</v>
      </c>
      <c r="I100" s="9">
        <v>177</v>
      </c>
      <c r="J100" s="1"/>
      <c r="K100" s="1"/>
      <c r="L100" s="1"/>
      <c r="M100" s="43" t="s">
        <v>24</v>
      </c>
      <c r="N100" s="9"/>
      <c r="O100" s="47" t="s">
        <v>148</v>
      </c>
      <c r="P100" s="48" t="s">
        <v>335</v>
      </c>
      <c r="T100" s="49" t="s">
        <v>35</v>
      </c>
    </row>
    <row r="101" spans="1:20" ht="43.5" x14ac:dyDescent="0.35">
      <c r="A101" s="14"/>
      <c r="B101" s="14"/>
      <c r="C101" s="29"/>
      <c r="D101" s="58"/>
      <c r="E101" s="2" t="s">
        <v>336</v>
      </c>
      <c r="F101" s="55" t="s">
        <v>337</v>
      </c>
      <c r="G101" s="29" t="s">
        <v>144</v>
      </c>
      <c r="H101" s="36" t="s">
        <v>145</v>
      </c>
      <c r="I101" s="9">
        <v>20</v>
      </c>
      <c r="J101" s="1"/>
      <c r="K101" s="1"/>
      <c r="L101" s="1"/>
      <c r="M101" s="43" t="s">
        <v>24</v>
      </c>
      <c r="N101" s="9"/>
      <c r="O101" s="47" t="s">
        <v>148</v>
      </c>
      <c r="P101" s="48" t="s">
        <v>338</v>
      </c>
      <c r="T101" s="49" t="s">
        <v>35</v>
      </c>
    </row>
    <row r="102" spans="1:20" x14ac:dyDescent="0.35">
      <c r="A102" s="13" t="s">
        <v>339</v>
      </c>
      <c r="B102" s="13"/>
      <c r="C102" s="29" t="s">
        <v>340</v>
      </c>
      <c r="D102" s="58"/>
      <c r="E102" s="2"/>
      <c r="F102" s="55"/>
      <c r="G102" s="55"/>
      <c r="H102" s="34"/>
      <c r="I102" s="9"/>
      <c r="J102" s="1"/>
      <c r="K102" s="1"/>
      <c r="L102" s="1"/>
      <c r="M102" s="43"/>
      <c r="N102" s="9"/>
      <c r="O102" s="42"/>
      <c r="P102" s="43"/>
    </row>
    <row r="103" spans="1:20" x14ac:dyDescent="0.35">
      <c r="A103" s="14" t="s">
        <v>341</v>
      </c>
      <c r="B103" s="14"/>
      <c r="C103" s="29" t="s">
        <v>342</v>
      </c>
      <c r="D103" s="58"/>
      <c r="E103" s="2"/>
      <c r="F103" s="55"/>
      <c r="G103" s="55"/>
      <c r="H103" s="34"/>
      <c r="I103" s="9"/>
      <c r="J103" s="1"/>
      <c r="K103" s="1"/>
      <c r="L103" s="1"/>
      <c r="M103" s="43"/>
      <c r="N103" s="9"/>
      <c r="O103" s="42"/>
      <c r="P103" s="43"/>
    </row>
    <row r="104" spans="1:20" x14ac:dyDescent="0.35">
      <c r="A104" s="14" t="s">
        <v>343</v>
      </c>
      <c r="B104" s="14"/>
      <c r="C104" s="29" t="s">
        <v>344</v>
      </c>
      <c r="D104" s="58"/>
      <c r="E104" s="2"/>
      <c r="F104" s="55"/>
      <c r="G104" s="55"/>
      <c r="H104" s="34"/>
      <c r="I104" s="9"/>
      <c r="J104" s="1"/>
      <c r="K104" s="1"/>
      <c r="L104" s="1"/>
      <c r="M104" s="43"/>
      <c r="N104" s="9"/>
      <c r="O104" s="42"/>
      <c r="P104" s="43"/>
    </row>
    <row r="105" spans="1:20" x14ac:dyDescent="0.35">
      <c r="A105" s="14" t="s">
        <v>345</v>
      </c>
      <c r="B105" s="14"/>
      <c r="C105" s="29" t="s">
        <v>346</v>
      </c>
      <c r="D105" s="58"/>
      <c r="E105" s="2"/>
      <c r="F105" s="55"/>
      <c r="G105" s="55"/>
      <c r="H105" s="34"/>
      <c r="I105" s="9"/>
      <c r="J105" s="1"/>
      <c r="K105" s="1"/>
      <c r="L105" s="1"/>
      <c r="M105" s="43"/>
      <c r="N105" s="9"/>
      <c r="O105" s="42"/>
      <c r="P105" s="43"/>
    </row>
    <row r="106" spans="1:20" x14ac:dyDescent="0.35">
      <c r="A106" s="14" t="s">
        <v>347</v>
      </c>
      <c r="B106" s="14"/>
      <c r="C106" s="29" t="s">
        <v>348</v>
      </c>
      <c r="D106" s="58"/>
      <c r="E106" s="2"/>
      <c r="F106" s="55"/>
      <c r="G106" s="55"/>
      <c r="H106" s="34"/>
      <c r="I106" s="9"/>
      <c r="J106" s="1"/>
      <c r="K106" s="1"/>
      <c r="L106" s="1"/>
      <c r="M106" s="43"/>
      <c r="N106" s="9"/>
      <c r="O106" s="42"/>
      <c r="P106" s="43"/>
    </row>
    <row r="107" spans="1:20" x14ac:dyDescent="0.35">
      <c r="A107" s="14" t="s">
        <v>349</v>
      </c>
      <c r="B107" s="14"/>
      <c r="C107" s="29" t="s">
        <v>350</v>
      </c>
      <c r="D107" s="58"/>
      <c r="E107" s="2"/>
      <c r="F107" s="55"/>
      <c r="G107" s="55"/>
      <c r="H107" s="34"/>
      <c r="I107" s="9"/>
      <c r="J107" s="1"/>
      <c r="K107" s="1"/>
      <c r="L107" s="1"/>
      <c r="M107" s="43"/>
      <c r="N107" s="9"/>
      <c r="O107" s="42"/>
      <c r="P107" s="43"/>
    </row>
    <row r="108" spans="1:20" x14ac:dyDescent="0.35">
      <c r="A108" s="14" t="s">
        <v>351</v>
      </c>
      <c r="B108" s="14"/>
      <c r="C108" s="29" t="s">
        <v>352</v>
      </c>
      <c r="D108" s="58"/>
      <c r="E108" s="2"/>
      <c r="F108" s="55"/>
      <c r="G108" s="55"/>
      <c r="H108" s="34"/>
      <c r="I108" s="9"/>
      <c r="J108" s="1"/>
      <c r="K108" s="1"/>
      <c r="L108" s="1"/>
      <c r="M108" s="43"/>
      <c r="N108" s="9"/>
      <c r="O108" s="42"/>
      <c r="P108" s="43"/>
    </row>
    <row r="109" spans="1:20" x14ac:dyDescent="0.35">
      <c r="A109" s="14" t="s">
        <v>353</v>
      </c>
      <c r="B109" s="14"/>
      <c r="C109" s="29" t="s">
        <v>354</v>
      </c>
      <c r="D109" s="58"/>
      <c r="E109" s="2"/>
      <c r="F109" s="55"/>
      <c r="G109" s="55"/>
      <c r="H109" s="34"/>
      <c r="I109" s="9"/>
      <c r="J109" s="1"/>
      <c r="K109" s="1"/>
      <c r="L109" s="1"/>
      <c r="M109" s="43"/>
      <c r="N109" s="9"/>
      <c r="O109" s="42"/>
      <c r="P109" s="43"/>
    </row>
    <row r="110" spans="1:20" x14ac:dyDescent="0.35">
      <c r="A110" s="14" t="s">
        <v>355</v>
      </c>
      <c r="B110" s="14"/>
      <c r="C110" s="29" t="s">
        <v>356</v>
      </c>
      <c r="D110" s="58"/>
      <c r="E110" s="2"/>
      <c r="F110" s="55"/>
      <c r="G110" s="55"/>
      <c r="H110" s="34"/>
      <c r="I110" s="9"/>
      <c r="J110" s="1"/>
      <c r="K110" s="1"/>
      <c r="L110" s="1"/>
      <c r="M110" s="43"/>
      <c r="N110" s="9"/>
      <c r="O110" s="42"/>
      <c r="P110" s="43"/>
    </row>
    <row r="111" spans="1:20" x14ac:dyDescent="0.35">
      <c r="A111" s="14" t="s">
        <v>357</v>
      </c>
      <c r="B111" s="14"/>
      <c r="C111" s="29" t="s">
        <v>358</v>
      </c>
      <c r="D111" s="58"/>
      <c r="E111" s="2"/>
      <c r="F111" s="55"/>
      <c r="G111" s="55"/>
      <c r="H111" s="34"/>
      <c r="I111" s="9"/>
      <c r="J111" s="1"/>
      <c r="K111" s="1"/>
      <c r="L111" s="1"/>
      <c r="M111" s="43"/>
      <c r="N111" s="9"/>
      <c r="O111" s="42"/>
      <c r="P111" s="43"/>
    </row>
    <row r="112" spans="1:20" x14ac:dyDescent="0.35">
      <c r="A112" s="14" t="s">
        <v>359</v>
      </c>
      <c r="B112" s="14"/>
      <c r="C112" s="29" t="s">
        <v>360</v>
      </c>
      <c r="D112" s="58"/>
      <c r="E112" s="2"/>
      <c r="F112" s="55"/>
      <c r="G112" s="55"/>
      <c r="H112" s="34"/>
      <c r="I112" s="9"/>
      <c r="J112" s="1"/>
      <c r="K112" s="1"/>
      <c r="L112" s="1"/>
      <c r="M112" s="43"/>
      <c r="N112" s="9"/>
      <c r="O112" s="42"/>
      <c r="P112" s="43"/>
    </row>
    <row r="113" spans="1:20" x14ac:dyDescent="0.35">
      <c r="A113" s="13" t="s">
        <v>361</v>
      </c>
      <c r="B113" s="13"/>
      <c r="C113" s="29" t="s">
        <v>362</v>
      </c>
      <c r="D113" s="58"/>
      <c r="E113" s="2"/>
      <c r="F113" s="55"/>
      <c r="G113" s="55"/>
      <c r="H113" s="34"/>
      <c r="I113" s="9"/>
      <c r="J113" s="1"/>
      <c r="K113" s="1"/>
      <c r="L113" s="1"/>
      <c r="M113" s="43"/>
      <c r="N113" s="9"/>
      <c r="O113" s="42"/>
      <c r="P113" s="43"/>
    </row>
    <row r="114" spans="1:20" x14ac:dyDescent="0.35">
      <c r="A114" s="13" t="s">
        <v>363</v>
      </c>
      <c r="B114" s="13"/>
      <c r="C114" s="29" t="s">
        <v>364</v>
      </c>
      <c r="D114" s="58"/>
      <c r="E114" s="2"/>
      <c r="F114" s="55"/>
      <c r="G114" s="55"/>
      <c r="H114" s="34"/>
      <c r="I114" s="9"/>
      <c r="J114" s="1"/>
      <c r="K114" s="1"/>
      <c r="L114" s="1"/>
      <c r="M114" s="43"/>
      <c r="N114" s="9"/>
      <c r="O114" s="42"/>
      <c r="P114" s="43"/>
    </row>
    <row r="115" spans="1:20" x14ac:dyDescent="0.35">
      <c r="A115" s="12" t="s">
        <v>365</v>
      </c>
      <c r="B115" s="12"/>
      <c r="C115" s="59" t="s">
        <v>366</v>
      </c>
      <c r="D115" s="72"/>
      <c r="E115" s="2"/>
      <c r="F115" s="55"/>
      <c r="G115" s="29"/>
      <c r="H115" s="9"/>
      <c r="I115" s="9"/>
      <c r="J115" s="1"/>
      <c r="K115" s="1"/>
      <c r="L115" s="1"/>
      <c r="M115" s="43"/>
      <c r="N115" s="9"/>
      <c r="O115" s="42"/>
      <c r="P115" s="43"/>
    </row>
    <row r="116" spans="1:20" x14ac:dyDescent="0.35">
      <c r="A116" s="13" t="s">
        <v>367</v>
      </c>
      <c r="B116" s="13"/>
      <c r="C116" s="29" t="s">
        <v>368</v>
      </c>
      <c r="D116" s="58"/>
      <c r="E116" s="2"/>
      <c r="F116" s="55"/>
      <c r="G116" s="29"/>
      <c r="H116" s="9"/>
      <c r="I116" s="9"/>
      <c r="J116" s="1"/>
      <c r="K116" s="1"/>
      <c r="L116" s="1"/>
      <c r="M116" s="43"/>
      <c r="N116" s="9"/>
      <c r="O116" s="42"/>
      <c r="P116" s="43"/>
    </row>
    <row r="117" spans="1:20" x14ac:dyDescent="0.35">
      <c r="A117" s="13" t="s">
        <v>369</v>
      </c>
      <c r="B117" s="13"/>
      <c r="C117" s="29" t="s">
        <v>370</v>
      </c>
      <c r="D117" s="58"/>
      <c r="E117" s="2" t="s">
        <v>371</v>
      </c>
      <c r="F117" s="55" t="s">
        <v>372</v>
      </c>
      <c r="G117" s="29" t="s">
        <v>22</v>
      </c>
      <c r="H117" s="35" t="s">
        <v>23</v>
      </c>
      <c r="I117" s="9">
        <v>4</v>
      </c>
      <c r="J117" s="1"/>
      <c r="K117" s="1"/>
      <c r="L117" s="1"/>
      <c r="M117" s="43" t="s">
        <v>24</v>
      </c>
      <c r="N117" s="9"/>
      <c r="O117" s="47" t="s">
        <v>25</v>
      </c>
      <c r="P117" s="48" t="s">
        <v>373</v>
      </c>
      <c r="Q117" s="49" t="s">
        <v>24</v>
      </c>
      <c r="T117" s="49" t="s">
        <v>24</v>
      </c>
    </row>
    <row r="118" spans="1:20" x14ac:dyDescent="0.35">
      <c r="A118" s="13" t="s">
        <v>374</v>
      </c>
      <c r="B118" s="13"/>
      <c r="C118" s="29" t="s">
        <v>375</v>
      </c>
      <c r="D118" s="58"/>
      <c r="E118" s="2" t="s">
        <v>376</v>
      </c>
      <c r="F118" s="55" t="s">
        <v>377</v>
      </c>
      <c r="G118" s="29" t="s">
        <v>22</v>
      </c>
      <c r="H118" s="35" t="s">
        <v>23</v>
      </c>
      <c r="I118" s="9">
        <v>1</v>
      </c>
      <c r="J118" s="1"/>
      <c r="K118" s="1"/>
      <c r="L118" s="1"/>
      <c r="M118" s="43" t="s">
        <v>24</v>
      </c>
      <c r="N118" s="9"/>
      <c r="O118" s="47" t="s">
        <v>378</v>
      </c>
      <c r="P118" s="48" t="s">
        <v>373</v>
      </c>
      <c r="Q118" s="49" t="s">
        <v>24</v>
      </c>
      <c r="T118" s="49" t="s">
        <v>24</v>
      </c>
    </row>
    <row r="119" spans="1:20" x14ac:dyDescent="0.35">
      <c r="A119" s="12" t="s">
        <v>379</v>
      </c>
      <c r="B119" s="12"/>
      <c r="C119" s="59" t="s">
        <v>380</v>
      </c>
      <c r="D119" s="72"/>
      <c r="E119" s="2" t="s">
        <v>381</v>
      </c>
      <c r="F119" s="55" t="s">
        <v>382</v>
      </c>
      <c r="G119" s="29" t="s">
        <v>383</v>
      </c>
      <c r="H119" s="35" t="s">
        <v>176</v>
      </c>
      <c r="I119" s="9">
        <v>1</v>
      </c>
      <c r="J119" s="1"/>
      <c r="K119" s="1"/>
      <c r="L119" s="1"/>
      <c r="M119" s="43" t="s">
        <v>35</v>
      </c>
      <c r="N119" s="9" t="s">
        <v>177</v>
      </c>
      <c r="O119" s="47" t="s">
        <v>279</v>
      </c>
      <c r="P119" s="48" t="s">
        <v>384</v>
      </c>
      <c r="Q119" s="49" t="s">
        <v>35</v>
      </c>
      <c r="T119" s="49" t="s">
        <v>24</v>
      </c>
    </row>
    <row r="120" spans="1:20" x14ac:dyDescent="0.35">
      <c r="A120" s="15"/>
      <c r="B120" s="15"/>
      <c r="C120" s="29"/>
      <c r="D120" s="58"/>
      <c r="E120" s="2" t="s">
        <v>385</v>
      </c>
      <c r="F120" s="55" t="s">
        <v>386</v>
      </c>
      <c r="G120" s="29" t="s">
        <v>383</v>
      </c>
      <c r="H120" s="35" t="s">
        <v>176</v>
      </c>
      <c r="I120" s="9">
        <v>1</v>
      </c>
      <c r="J120" s="1"/>
      <c r="K120" s="1"/>
      <c r="L120" s="1"/>
      <c r="M120" s="43" t="s">
        <v>35</v>
      </c>
      <c r="N120" s="9" t="s">
        <v>177</v>
      </c>
      <c r="O120" s="47" t="s">
        <v>279</v>
      </c>
      <c r="P120" s="48" t="s">
        <v>387</v>
      </c>
      <c r="Q120" s="49" t="s">
        <v>35</v>
      </c>
      <c r="T120" s="49" t="s">
        <v>24</v>
      </c>
    </row>
    <row r="121" spans="1:20" x14ac:dyDescent="0.35">
      <c r="A121" s="12" t="s">
        <v>388</v>
      </c>
      <c r="B121" s="12"/>
      <c r="C121" s="59" t="s">
        <v>389</v>
      </c>
      <c r="D121" s="72"/>
      <c r="E121" s="2"/>
      <c r="F121" s="55"/>
      <c r="G121" s="29"/>
      <c r="H121" s="9"/>
      <c r="I121" s="9"/>
      <c r="J121" s="1"/>
      <c r="K121" s="1"/>
      <c r="L121" s="1"/>
      <c r="M121" s="43"/>
      <c r="N121" s="9"/>
      <c r="O121" s="42"/>
      <c r="P121" s="43"/>
    </row>
    <row r="122" spans="1:20" x14ac:dyDescent="0.35">
      <c r="A122" s="13" t="s">
        <v>390</v>
      </c>
      <c r="B122" s="13"/>
      <c r="C122" s="29" t="s">
        <v>391</v>
      </c>
      <c r="D122" s="58"/>
      <c r="E122" s="2" t="s">
        <v>392</v>
      </c>
      <c r="F122" s="55" t="s">
        <v>393</v>
      </c>
      <c r="G122" s="29" t="s">
        <v>22</v>
      </c>
      <c r="H122" s="35" t="s">
        <v>23</v>
      </c>
      <c r="I122" s="9">
        <v>4</v>
      </c>
      <c r="J122" s="1"/>
      <c r="K122" s="1"/>
      <c r="L122" s="1"/>
      <c r="M122" s="43" t="s">
        <v>24</v>
      </c>
      <c r="N122" s="9"/>
      <c r="O122" s="47" t="s">
        <v>378</v>
      </c>
      <c r="P122" s="67" t="s">
        <v>208</v>
      </c>
    </row>
    <row r="123" spans="1:20" x14ac:dyDescent="0.35">
      <c r="A123" s="13"/>
      <c r="B123" s="13"/>
      <c r="C123" s="29"/>
      <c r="D123" s="58"/>
      <c r="E123" s="2" t="s">
        <v>371</v>
      </c>
      <c r="F123" s="55" t="s">
        <v>394</v>
      </c>
      <c r="G123" s="29" t="s">
        <v>22</v>
      </c>
      <c r="H123" s="35" t="s">
        <v>23</v>
      </c>
      <c r="I123" s="9">
        <v>1</v>
      </c>
      <c r="J123" s="1"/>
      <c r="K123" s="1"/>
      <c r="L123" s="1"/>
      <c r="M123" s="43" t="s">
        <v>24</v>
      </c>
      <c r="N123" s="9"/>
      <c r="O123" s="47" t="s">
        <v>378</v>
      </c>
      <c r="P123" s="48" t="s">
        <v>373</v>
      </c>
    </row>
    <row r="124" spans="1:20" x14ac:dyDescent="0.35">
      <c r="A124" s="13"/>
      <c r="B124" s="13"/>
      <c r="C124" s="29"/>
      <c r="D124" s="58"/>
      <c r="E124" s="2" t="s">
        <v>371</v>
      </c>
      <c r="F124" s="55" t="s">
        <v>395</v>
      </c>
      <c r="G124" s="29" t="s">
        <v>22</v>
      </c>
      <c r="H124" s="35" t="s">
        <v>23</v>
      </c>
      <c r="I124" s="9">
        <v>1</v>
      </c>
      <c r="J124" s="1"/>
      <c r="K124" s="1"/>
      <c r="L124" s="1"/>
      <c r="M124" s="43" t="s">
        <v>24</v>
      </c>
      <c r="N124" s="9"/>
      <c r="O124" s="47" t="s">
        <v>378</v>
      </c>
      <c r="P124" s="48" t="s">
        <v>373</v>
      </c>
    </row>
    <row r="125" spans="1:20" x14ac:dyDescent="0.35">
      <c r="A125" s="13" t="s">
        <v>396</v>
      </c>
      <c r="B125" s="13"/>
      <c r="C125" s="29" t="s">
        <v>397</v>
      </c>
      <c r="D125" s="58"/>
      <c r="E125" s="2"/>
      <c r="F125" s="55" t="s">
        <v>398</v>
      </c>
      <c r="G125" s="29" t="s">
        <v>22</v>
      </c>
      <c r="H125" s="35" t="s">
        <v>23</v>
      </c>
      <c r="I125" s="9"/>
      <c r="J125" s="1"/>
      <c r="K125" s="1"/>
      <c r="L125" s="1"/>
      <c r="M125" s="43" t="s">
        <v>24</v>
      </c>
      <c r="N125" s="9"/>
      <c r="O125" s="47" t="s">
        <v>378</v>
      </c>
      <c r="P125" s="48" t="s">
        <v>373</v>
      </c>
    </row>
    <row r="126" spans="1:20" x14ac:dyDescent="0.35">
      <c r="A126" s="13" t="s">
        <v>399</v>
      </c>
      <c r="B126" s="13"/>
      <c r="C126" s="29" t="s">
        <v>400</v>
      </c>
      <c r="D126" s="58"/>
      <c r="E126" s="2" t="s">
        <v>401</v>
      </c>
      <c r="F126" s="55"/>
      <c r="G126" s="29" t="s">
        <v>22</v>
      </c>
      <c r="H126" s="35" t="s">
        <v>23</v>
      </c>
      <c r="I126" s="9">
        <v>1</v>
      </c>
      <c r="J126" s="1"/>
      <c r="K126" s="1"/>
      <c r="L126" s="1"/>
      <c r="M126" s="43" t="s">
        <v>24</v>
      </c>
      <c r="N126" s="9"/>
      <c r="O126" s="47" t="s">
        <v>378</v>
      </c>
      <c r="P126" s="48" t="s">
        <v>208</v>
      </c>
    </row>
    <row r="127" spans="1:20" x14ac:dyDescent="0.35">
      <c r="A127" s="13" t="s">
        <v>402</v>
      </c>
      <c r="B127" s="13"/>
      <c r="C127" s="29" t="s">
        <v>403</v>
      </c>
      <c r="D127" s="58"/>
      <c r="E127" s="2" t="s">
        <v>404</v>
      </c>
      <c r="F127" s="55" t="s">
        <v>405</v>
      </c>
      <c r="G127" s="29" t="s">
        <v>22</v>
      </c>
      <c r="H127" s="35" t="s">
        <v>23</v>
      </c>
      <c r="I127" s="9">
        <v>1</v>
      </c>
      <c r="J127" s="1"/>
      <c r="K127" s="1"/>
      <c r="L127" s="1"/>
      <c r="M127" s="43" t="s">
        <v>24</v>
      </c>
      <c r="N127" s="9"/>
      <c r="O127" s="47" t="s">
        <v>406</v>
      </c>
      <c r="P127" s="48" t="s">
        <v>208</v>
      </c>
      <c r="Q127" s="49" t="s">
        <v>35</v>
      </c>
      <c r="T127" s="49" t="s">
        <v>35</v>
      </c>
    </row>
    <row r="128" spans="1:20" x14ac:dyDescent="0.35">
      <c r="A128" s="19"/>
      <c r="B128" s="19"/>
      <c r="C128" s="39"/>
      <c r="D128" s="73"/>
      <c r="E128" s="21" t="s">
        <v>407</v>
      </c>
      <c r="F128" s="39" t="s">
        <v>408</v>
      </c>
      <c r="G128" s="39" t="s">
        <v>22</v>
      </c>
      <c r="H128" s="35" t="s">
        <v>23</v>
      </c>
      <c r="I128" s="22">
        <v>16</v>
      </c>
      <c r="J128" s="20"/>
      <c r="K128" s="20"/>
      <c r="L128" s="20"/>
      <c r="M128" s="44" t="s">
        <v>24</v>
      </c>
      <c r="N128" s="22"/>
      <c r="O128" s="69" t="s">
        <v>406</v>
      </c>
      <c r="P128" s="68" t="s">
        <v>409</v>
      </c>
      <c r="Q128" s="49" t="s">
        <v>35</v>
      </c>
      <c r="T128" s="49" t="s">
        <v>35</v>
      </c>
    </row>
  </sheetData>
  <phoneticPr fontId="3" type="noConversion"/>
  <printOptions horizontalCentered="1"/>
  <pageMargins left="0.51181102362204722" right="0.51181102362204722" top="0.74803149606299213" bottom="0.74803149606299213" header="0.31496062992125984" footer="0.31496062992125984"/>
  <pageSetup paperSize="8" scale="44" fitToHeight="0" orientation="portrait" r:id="rId1"/>
  <headerFooter>
    <oddHeader>&amp;C&amp;Z&amp;F</oddHeader>
    <oddFooter>&amp;L&amp;D&amp;R&amp;P/&amp;N</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0A90-0F13-4DB4-B43C-0D89E7455DAE}">
  <sheetPr>
    <pageSetUpPr fitToPage="1"/>
  </sheetPr>
  <dimension ref="A1:E103"/>
  <sheetViews>
    <sheetView tabSelected="1" zoomScale="120" zoomScaleNormal="120" workbookViewId="0">
      <selection activeCell="F14" sqref="F14"/>
    </sheetView>
  </sheetViews>
  <sheetFormatPr defaultRowHeight="14.5" x14ac:dyDescent="0.35"/>
  <cols>
    <col min="1" max="1" width="10.6328125" style="11" customWidth="1"/>
    <col min="2" max="2" width="24.26953125" customWidth="1"/>
    <col min="3" max="3" width="13.90625" style="142" customWidth="1"/>
    <col min="4" max="4" width="37.54296875" customWidth="1"/>
    <col min="5" max="5" width="76.26953125" customWidth="1"/>
    <col min="7" max="7" width="13.453125" customWidth="1"/>
  </cols>
  <sheetData>
    <row r="1" spans="1:5" ht="43.5" x14ac:dyDescent="0.35">
      <c r="A1" s="138" t="s">
        <v>615</v>
      </c>
      <c r="B1" s="137" t="s">
        <v>771</v>
      </c>
      <c r="C1" s="140" t="s">
        <v>1068</v>
      </c>
      <c r="D1" s="137" t="s">
        <v>710</v>
      </c>
      <c r="E1" s="137" t="s">
        <v>773</v>
      </c>
    </row>
    <row r="2" spans="1:5" ht="29.5" customHeight="1" x14ac:dyDescent="0.35">
      <c r="A2" s="139">
        <v>1</v>
      </c>
      <c r="B2" s="74" t="s">
        <v>774</v>
      </c>
      <c r="C2" s="141" t="s">
        <v>1069</v>
      </c>
      <c r="D2" s="74" t="s">
        <v>775</v>
      </c>
      <c r="E2" s="74" t="s">
        <v>776</v>
      </c>
    </row>
    <row r="3" spans="1:5" x14ac:dyDescent="0.35">
      <c r="A3" s="139">
        <v>2</v>
      </c>
      <c r="B3" s="74" t="s">
        <v>774</v>
      </c>
      <c r="C3" s="141" t="s">
        <v>1070</v>
      </c>
      <c r="D3" s="74" t="s">
        <v>777</v>
      </c>
      <c r="E3" s="74" t="s">
        <v>778</v>
      </c>
    </row>
    <row r="4" spans="1:5" x14ac:dyDescent="0.35">
      <c r="A4" s="139" t="s">
        <v>127</v>
      </c>
      <c r="B4" s="74" t="s">
        <v>774</v>
      </c>
      <c r="C4" s="141" t="s">
        <v>1071</v>
      </c>
      <c r="D4" s="74" t="s">
        <v>779</v>
      </c>
      <c r="E4" s="74" t="s">
        <v>780</v>
      </c>
    </row>
    <row r="5" spans="1:5" x14ac:dyDescent="0.35">
      <c r="A5" s="139" t="s">
        <v>133</v>
      </c>
      <c r="B5" s="74" t="s">
        <v>774</v>
      </c>
      <c r="C5" s="141" t="s">
        <v>1072</v>
      </c>
      <c r="D5" s="74" t="s">
        <v>781</v>
      </c>
      <c r="E5" s="74" t="s">
        <v>782</v>
      </c>
    </row>
    <row r="6" spans="1:5" x14ac:dyDescent="0.35">
      <c r="A6" s="139" t="s">
        <v>157</v>
      </c>
      <c r="B6" s="74" t="s">
        <v>774</v>
      </c>
      <c r="C6" s="141" t="s">
        <v>1073</v>
      </c>
      <c r="D6" s="74" t="s">
        <v>783</v>
      </c>
      <c r="E6" s="74" t="s">
        <v>784</v>
      </c>
    </row>
    <row r="7" spans="1:5" x14ac:dyDescent="0.35">
      <c r="A7" s="139" t="s">
        <v>162</v>
      </c>
      <c r="B7" s="74" t="s">
        <v>774</v>
      </c>
      <c r="C7" s="141" t="s">
        <v>1074</v>
      </c>
      <c r="D7" s="74" t="s">
        <v>785</v>
      </c>
      <c r="E7" s="74" t="s">
        <v>786</v>
      </c>
    </row>
    <row r="8" spans="1:5" x14ac:dyDescent="0.35">
      <c r="A8" s="139" t="s">
        <v>787</v>
      </c>
      <c r="B8" s="74" t="s">
        <v>774</v>
      </c>
      <c r="C8" s="141" t="s">
        <v>1075</v>
      </c>
      <c r="D8" s="74" t="s">
        <v>788</v>
      </c>
      <c r="E8" s="74" t="s">
        <v>789</v>
      </c>
    </row>
    <row r="9" spans="1:5" x14ac:dyDescent="0.35">
      <c r="A9" s="139" t="s">
        <v>183</v>
      </c>
      <c r="B9" s="74" t="s">
        <v>774</v>
      </c>
      <c r="C9" s="141" t="s">
        <v>1076</v>
      </c>
      <c r="D9" s="74" t="s">
        <v>790</v>
      </c>
      <c r="E9" s="74" t="s">
        <v>791</v>
      </c>
    </row>
    <row r="10" spans="1:5" x14ac:dyDescent="0.35">
      <c r="A10" s="139" t="s">
        <v>185</v>
      </c>
      <c r="B10" s="74" t="s">
        <v>774</v>
      </c>
      <c r="C10" s="141" t="s">
        <v>1077</v>
      </c>
      <c r="D10" s="74" t="s">
        <v>792</v>
      </c>
      <c r="E10" s="74" t="s">
        <v>793</v>
      </c>
    </row>
    <row r="11" spans="1:5" x14ac:dyDescent="0.35">
      <c r="A11" s="139" t="s">
        <v>187</v>
      </c>
      <c r="B11" s="74" t="s">
        <v>774</v>
      </c>
      <c r="C11" s="141" t="s">
        <v>1078</v>
      </c>
      <c r="D11" s="74" t="s">
        <v>794</v>
      </c>
      <c r="E11" s="74" t="s">
        <v>795</v>
      </c>
    </row>
    <row r="12" spans="1:5" x14ac:dyDescent="0.35">
      <c r="A12" s="139" t="s">
        <v>796</v>
      </c>
      <c r="B12" s="74" t="s">
        <v>774</v>
      </c>
      <c r="C12" s="141" t="s">
        <v>1079</v>
      </c>
      <c r="D12" s="74" t="s">
        <v>797</v>
      </c>
      <c r="E12" s="74" t="s">
        <v>798</v>
      </c>
    </row>
    <row r="13" spans="1:5" x14ac:dyDescent="0.35">
      <c r="A13" s="139" t="s">
        <v>191</v>
      </c>
      <c r="B13" s="74" t="s">
        <v>799</v>
      </c>
      <c r="C13" s="141" t="s">
        <v>1080</v>
      </c>
      <c r="D13" s="74" t="s">
        <v>800</v>
      </c>
      <c r="E13" s="74" t="s">
        <v>801</v>
      </c>
    </row>
    <row r="14" spans="1:5" x14ac:dyDescent="0.35">
      <c r="A14" s="139" t="s">
        <v>260</v>
      </c>
      <c r="B14" s="74" t="s">
        <v>799</v>
      </c>
      <c r="C14" s="141" t="s">
        <v>1081</v>
      </c>
      <c r="D14" s="74" t="s">
        <v>358</v>
      </c>
      <c r="E14" s="74" t="s">
        <v>802</v>
      </c>
    </row>
    <row r="15" spans="1:5" x14ac:dyDescent="0.35">
      <c r="A15" s="139" t="s">
        <v>367</v>
      </c>
      <c r="B15" s="74" t="s">
        <v>799</v>
      </c>
      <c r="C15" s="141" t="s">
        <v>1082</v>
      </c>
      <c r="D15" s="74" t="s">
        <v>803</v>
      </c>
      <c r="E15" s="74" t="s">
        <v>804</v>
      </c>
    </row>
    <row r="16" spans="1:5" x14ac:dyDescent="0.35">
      <c r="A16" s="139" t="s">
        <v>369</v>
      </c>
      <c r="B16" s="74" t="s">
        <v>799</v>
      </c>
      <c r="C16" s="141" t="s">
        <v>1083</v>
      </c>
      <c r="D16" s="74" t="s">
        <v>805</v>
      </c>
      <c r="E16" s="74" t="s">
        <v>806</v>
      </c>
    </row>
    <row r="17" spans="1:5" x14ac:dyDescent="0.35">
      <c r="A17" s="139" t="s">
        <v>374</v>
      </c>
      <c r="B17" s="74" t="s">
        <v>799</v>
      </c>
      <c r="C17" s="141" t="s">
        <v>1084</v>
      </c>
      <c r="D17" s="74" t="s">
        <v>807</v>
      </c>
      <c r="E17" s="74" t="s">
        <v>808</v>
      </c>
    </row>
    <row r="18" spans="1:5" x14ac:dyDescent="0.35">
      <c r="A18" s="139" t="s">
        <v>809</v>
      </c>
      <c r="B18" s="74" t="s">
        <v>799</v>
      </c>
      <c r="C18" s="141" t="s">
        <v>1085</v>
      </c>
      <c r="D18" s="74" t="s">
        <v>810</v>
      </c>
      <c r="E18" s="74" t="s">
        <v>811</v>
      </c>
    </row>
    <row r="19" spans="1:5" x14ac:dyDescent="0.35">
      <c r="A19" s="139" t="s">
        <v>812</v>
      </c>
      <c r="B19" s="74" t="s">
        <v>799</v>
      </c>
      <c r="C19" s="141" t="s">
        <v>1086</v>
      </c>
      <c r="D19" s="74" t="s">
        <v>813</v>
      </c>
      <c r="E19" s="74" t="s">
        <v>814</v>
      </c>
    </row>
    <row r="20" spans="1:5" x14ac:dyDescent="0.35">
      <c r="A20" s="139" t="s">
        <v>815</v>
      </c>
      <c r="B20" s="74" t="s">
        <v>799</v>
      </c>
      <c r="C20" s="141" t="s">
        <v>1087</v>
      </c>
      <c r="D20" s="74" t="s">
        <v>816</v>
      </c>
      <c r="E20" s="74" t="s">
        <v>817</v>
      </c>
    </row>
    <row r="21" spans="1:5" x14ac:dyDescent="0.35">
      <c r="A21" s="139" t="s">
        <v>818</v>
      </c>
      <c r="B21" s="74" t="s">
        <v>819</v>
      </c>
      <c r="C21" s="141" t="s">
        <v>1088</v>
      </c>
      <c r="D21" s="74" t="s">
        <v>820</v>
      </c>
      <c r="E21" s="74" t="s">
        <v>821</v>
      </c>
    </row>
    <row r="22" spans="1:5" x14ac:dyDescent="0.35">
      <c r="A22" s="139" t="s">
        <v>822</v>
      </c>
      <c r="B22" s="74" t="s">
        <v>819</v>
      </c>
      <c r="C22" s="141" t="s">
        <v>1089</v>
      </c>
      <c r="D22" s="74" t="s">
        <v>823</v>
      </c>
      <c r="E22" s="74" t="s">
        <v>824</v>
      </c>
    </row>
    <row r="23" spans="1:5" x14ac:dyDescent="0.35">
      <c r="A23" s="139" t="s">
        <v>825</v>
      </c>
      <c r="B23" s="74" t="s">
        <v>819</v>
      </c>
      <c r="C23" s="141" t="s">
        <v>1090</v>
      </c>
      <c r="D23" s="74" t="s">
        <v>826</v>
      </c>
      <c r="E23" s="74" t="s">
        <v>827</v>
      </c>
    </row>
    <row r="24" spans="1:5" x14ac:dyDescent="0.35">
      <c r="A24" s="139" t="s">
        <v>828</v>
      </c>
      <c r="B24" s="74" t="s">
        <v>819</v>
      </c>
      <c r="C24" s="141" t="s">
        <v>1091</v>
      </c>
      <c r="D24" s="74" t="s">
        <v>829</v>
      </c>
      <c r="E24" s="74" t="s">
        <v>830</v>
      </c>
    </row>
    <row r="25" spans="1:5" x14ac:dyDescent="0.35">
      <c r="A25" s="139" t="s">
        <v>831</v>
      </c>
      <c r="B25" s="74" t="s">
        <v>819</v>
      </c>
      <c r="C25" s="141" t="s">
        <v>1092</v>
      </c>
      <c r="D25" s="74" t="s">
        <v>832</v>
      </c>
      <c r="E25" s="74" t="s">
        <v>833</v>
      </c>
    </row>
    <row r="26" spans="1:5" x14ac:dyDescent="0.35">
      <c r="A26" s="139" t="s">
        <v>834</v>
      </c>
      <c r="B26" s="74" t="s">
        <v>819</v>
      </c>
      <c r="C26" s="141" t="s">
        <v>1093</v>
      </c>
      <c r="D26" s="74" t="s">
        <v>835</v>
      </c>
      <c r="E26" s="74" t="s">
        <v>836</v>
      </c>
    </row>
    <row r="27" spans="1:5" x14ac:dyDescent="0.35">
      <c r="A27" s="139" t="s">
        <v>837</v>
      </c>
      <c r="B27" s="74" t="s">
        <v>819</v>
      </c>
      <c r="C27" s="141" t="s">
        <v>1094</v>
      </c>
      <c r="D27" s="74" t="s">
        <v>838</v>
      </c>
      <c r="E27" s="74" t="s">
        <v>839</v>
      </c>
    </row>
    <row r="28" spans="1:5" x14ac:dyDescent="0.35">
      <c r="A28" s="139" t="s">
        <v>840</v>
      </c>
      <c r="B28" s="74" t="s">
        <v>819</v>
      </c>
      <c r="C28" s="141" t="s">
        <v>1095</v>
      </c>
      <c r="D28" s="74" t="s">
        <v>841</v>
      </c>
      <c r="E28" s="74" t="s">
        <v>842</v>
      </c>
    </row>
    <row r="29" spans="1:5" x14ac:dyDescent="0.35">
      <c r="A29" s="139" t="s">
        <v>843</v>
      </c>
      <c r="B29" s="74" t="s">
        <v>819</v>
      </c>
      <c r="C29" s="141" t="s">
        <v>1096</v>
      </c>
      <c r="D29" s="74" t="s">
        <v>844</v>
      </c>
      <c r="E29" s="74" t="s">
        <v>845</v>
      </c>
    </row>
    <row r="30" spans="1:5" x14ac:dyDescent="0.35">
      <c r="A30" s="139" t="s">
        <v>390</v>
      </c>
      <c r="B30" s="74" t="s">
        <v>846</v>
      </c>
      <c r="C30" s="141" t="s">
        <v>1097</v>
      </c>
      <c r="D30" s="74" t="s">
        <v>847</v>
      </c>
      <c r="E30" s="74" t="s">
        <v>848</v>
      </c>
    </row>
    <row r="31" spans="1:5" x14ac:dyDescent="0.35">
      <c r="A31" s="139" t="s">
        <v>396</v>
      </c>
      <c r="B31" s="74" t="s">
        <v>846</v>
      </c>
      <c r="C31" s="141" t="s">
        <v>1098</v>
      </c>
      <c r="D31" s="74" t="s">
        <v>849</v>
      </c>
      <c r="E31" s="74" t="s">
        <v>850</v>
      </c>
    </row>
    <row r="32" spans="1:5" x14ac:dyDescent="0.35">
      <c r="A32" s="139" t="s">
        <v>399</v>
      </c>
      <c r="B32" s="74" t="s">
        <v>846</v>
      </c>
      <c r="C32" s="141" t="s">
        <v>1099</v>
      </c>
      <c r="D32" s="74" t="s">
        <v>851</v>
      </c>
      <c r="E32" s="74" t="s">
        <v>852</v>
      </c>
    </row>
    <row r="33" spans="1:5" x14ac:dyDescent="0.35">
      <c r="A33" s="139" t="s">
        <v>402</v>
      </c>
      <c r="B33" s="74" t="s">
        <v>846</v>
      </c>
      <c r="C33" s="141" t="s">
        <v>1100</v>
      </c>
      <c r="D33" s="74" t="s">
        <v>853</v>
      </c>
      <c r="E33" s="74" t="s">
        <v>854</v>
      </c>
    </row>
    <row r="34" spans="1:5" x14ac:dyDescent="0.35">
      <c r="A34" s="139" t="s">
        <v>855</v>
      </c>
      <c r="B34" s="74" t="s">
        <v>846</v>
      </c>
      <c r="C34" s="141" t="s">
        <v>1101</v>
      </c>
      <c r="D34" s="74" t="s">
        <v>856</v>
      </c>
      <c r="E34" s="74" t="s">
        <v>857</v>
      </c>
    </row>
    <row r="35" spans="1:5" x14ac:dyDescent="0.35">
      <c r="A35" s="139" t="s">
        <v>858</v>
      </c>
      <c r="B35" s="74" t="s">
        <v>846</v>
      </c>
      <c r="C35" s="141" t="s">
        <v>1102</v>
      </c>
      <c r="D35" s="74" t="s">
        <v>859</v>
      </c>
      <c r="E35" s="74" t="s">
        <v>860</v>
      </c>
    </row>
    <row r="36" spans="1:5" x14ac:dyDescent="0.35">
      <c r="A36" s="139" t="s">
        <v>861</v>
      </c>
      <c r="B36" s="74" t="s">
        <v>846</v>
      </c>
      <c r="C36" s="141" t="s">
        <v>1103</v>
      </c>
      <c r="D36" s="74" t="s">
        <v>862</v>
      </c>
      <c r="E36" s="74" t="s">
        <v>863</v>
      </c>
    </row>
    <row r="37" spans="1:5" x14ac:dyDescent="0.35">
      <c r="A37" s="139" t="s">
        <v>864</v>
      </c>
      <c r="B37" s="74" t="s">
        <v>846</v>
      </c>
      <c r="C37" s="141" t="s">
        <v>1104</v>
      </c>
      <c r="D37" s="74" t="s">
        <v>865</v>
      </c>
      <c r="E37" s="74" t="s">
        <v>866</v>
      </c>
    </row>
    <row r="38" spans="1:5" x14ac:dyDescent="0.35">
      <c r="A38" s="139" t="s">
        <v>867</v>
      </c>
      <c r="B38" s="74" t="s">
        <v>868</v>
      </c>
      <c r="C38" s="141" t="s">
        <v>1105</v>
      </c>
      <c r="D38" s="74" t="s">
        <v>869</v>
      </c>
      <c r="E38" s="74" t="s">
        <v>870</v>
      </c>
    </row>
    <row r="39" spans="1:5" x14ac:dyDescent="0.35">
      <c r="A39" s="139" t="s">
        <v>871</v>
      </c>
      <c r="B39" s="74" t="s">
        <v>868</v>
      </c>
      <c r="C39" s="141" t="s">
        <v>1106</v>
      </c>
      <c r="D39" s="74" t="s">
        <v>872</v>
      </c>
      <c r="E39" s="74" t="s">
        <v>873</v>
      </c>
    </row>
    <row r="40" spans="1:5" x14ac:dyDescent="0.35">
      <c r="A40" s="139" t="s">
        <v>874</v>
      </c>
      <c r="B40" s="74" t="s">
        <v>868</v>
      </c>
      <c r="C40" s="141" t="s">
        <v>1107</v>
      </c>
      <c r="D40" s="74" t="s">
        <v>875</v>
      </c>
      <c r="E40" s="74" t="s">
        <v>876</v>
      </c>
    </row>
    <row r="41" spans="1:5" x14ac:dyDescent="0.35">
      <c r="A41" s="139" t="s">
        <v>1061</v>
      </c>
      <c r="B41" s="74" t="s">
        <v>868</v>
      </c>
      <c r="C41" s="141" t="s">
        <v>1108</v>
      </c>
      <c r="D41" s="74" t="s">
        <v>1062</v>
      </c>
      <c r="E41" s="74" t="s">
        <v>1063</v>
      </c>
    </row>
    <row r="42" spans="1:5" x14ac:dyDescent="0.35">
      <c r="A42" s="139" t="s">
        <v>877</v>
      </c>
      <c r="B42" s="74" t="s">
        <v>878</v>
      </c>
      <c r="C42" s="141" t="s">
        <v>1109</v>
      </c>
      <c r="D42" s="74" t="s">
        <v>879</v>
      </c>
      <c r="E42" s="74" t="s">
        <v>880</v>
      </c>
    </row>
    <row r="43" spans="1:5" x14ac:dyDescent="0.35">
      <c r="A43" s="139" t="s">
        <v>881</v>
      </c>
      <c r="B43" s="74" t="s">
        <v>878</v>
      </c>
      <c r="C43" s="141" t="s">
        <v>1110</v>
      </c>
      <c r="D43" s="74" t="s">
        <v>882</v>
      </c>
      <c r="E43" s="74" t="s">
        <v>883</v>
      </c>
    </row>
    <row r="44" spans="1:5" x14ac:dyDescent="0.35">
      <c r="A44" s="139" t="s">
        <v>884</v>
      </c>
      <c r="B44" s="74" t="s">
        <v>878</v>
      </c>
      <c r="C44" s="141" t="s">
        <v>1111</v>
      </c>
      <c r="D44" s="74" t="s">
        <v>885</v>
      </c>
      <c r="E44" s="74" t="s">
        <v>886</v>
      </c>
    </row>
    <row r="45" spans="1:5" x14ac:dyDescent="0.35">
      <c r="A45" s="139" t="s">
        <v>887</v>
      </c>
      <c r="B45" s="74" t="s">
        <v>888</v>
      </c>
      <c r="C45" s="141" t="s">
        <v>1112</v>
      </c>
      <c r="D45" s="74" t="s">
        <v>889</v>
      </c>
      <c r="E45" s="74" t="s">
        <v>1066</v>
      </c>
    </row>
    <row r="46" spans="1:5" x14ac:dyDescent="0.35">
      <c r="A46" s="139" t="s">
        <v>890</v>
      </c>
      <c r="B46" s="74" t="s">
        <v>888</v>
      </c>
      <c r="C46" s="141" t="s">
        <v>1113</v>
      </c>
      <c r="D46" s="74" t="s">
        <v>892</v>
      </c>
      <c r="E46" s="74" t="s">
        <v>1064</v>
      </c>
    </row>
    <row r="47" spans="1:5" ht="29" x14ac:dyDescent="0.35">
      <c r="A47" s="139" t="s">
        <v>891</v>
      </c>
      <c r="B47" s="74" t="s">
        <v>888</v>
      </c>
      <c r="C47" s="141" t="s">
        <v>1114</v>
      </c>
      <c r="D47" s="74" t="s">
        <v>893</v>
      </c>
      <c r="E47" s="74" t="s">
        <v>1065</v>
      </c>
    </row>
    <row r="48" spans="1:5" x14ac:dyDescent="0.35">
      <c r="A48" s="139" t="s">
        <v>894</v>
      </c>
      <c r="B48" s="74" t="s">
        <v>895</v>
      </c>
      <c r="C48" s="141" t="s">
        <v>1115</v>
      </c>
      <c r="D48" s="74" t="s">
        <v>896</v>
      </c>
      <c r="E48" s="74" t="s">
        <v>897</v>
      </c>
    </row>
    <row r="49" spans="1:5" x14ac:dyDescent="0.35">
      <c r="A49" s="139" t="s">
        <v>898</v>
      </c>
      <c r="B49" s="74" t="s">
        <v>895</v>
      </c>
      <c r="C49" s="141" t="s">
        <v>1116</v>
      </c>
      <c r="D49" s="74" t="s">
        <v>899</v>
      </c>
      <c r="E49" s="74" t="s">
        <v>900</v>
      </c>
    </row>
    <row r="50" spans="1:5" x14ac:dyDescent="0.35">
      <c r="A50" s="139" t="s">
        <v>901</v>
      </c>
      <c r="B50" s="74" t="s">
        <v>895</v>
      </c>
      <c r="C50" s="141" t="s">
        <v>1117</v>
      </c>
      <c r="D50" s="74" t="s">
        <v>902</v>
      </c>
      <c r="E50" s="74" t="s">
        <v>903</v>
      </c>
    </row>
    <row r="51" spans="1:5" x14ac:dyDescent="0.35">
      <c r="A51" s="139" t="s">
        <v>904</v>
      </c>
      <c r="B51" s="74" t="s">
        <v>895</v>
      </c>
      <c r="C51" s="141" t="s">
        <v>1118</v>
      </c>
      <c r="D51" s="74" t="s">
        <v>905</v>
      </c>
      <c r="E51" s="74" t="s">
        <v>906</v>
      </c>
    </row>
    <row r="52" spans="1:5" x14ac:dyDescent="0.35">
      <c r="A52" s="139" t="s">
        <v>907</v>
      </c>
      <c r="B52" s="74" t="s">
        <v>908</v>
      </c>
      <c r="C52" s="141" t="s">
        <v>1119</v>
      </c>
      <c r="D52" s="74" t="s">
        <v>909</v>
      </c>
      <c r="E52" s="74" t="s">
        <v>910</v>
      </c>
    </row>
    <row r="53" spans="1:5" x14ac:dyDescent="0.35">
      <c r="A53" s="139" t="s">
        <v>911</v>
      </c>
      <c r="B53" s="74" t="s">
        <v>908</v>
      </c>
      <c r="C53" s="141" t="s">
        <v>1120</v>
      </c>
      <c r="D53" s="74" t="s">
        <v>912</v>
      </c>
      <c r="E53" s="74" t="s">
        <v>913</v>
      </c>
    </row>
    <row r="54" spans="1:5" x14ac:dyDescent="0.35">
      <c r="A54" s="139" t="s">
        <v>914</v>
      </c>
      <c r="B54" s="74" t="s">
        <v>908</v>
      </c>
      <c r="C54" s="141" t="s">
        <v>1121</v>
      </c>
      <c r="D54" s="74" t="s">
        <v>915</v>
      </c>
      <c r="E54" s="74" t="s">
        <v>916</v>
      </c>
    </row>
    <row r="55" spans="1:5" x14ac:dyDescent="0.35">
      <c r="A55" s="139" t="s">
        <v>917</v>
      </c>
      <c r="B55" s="74" t="s">
        <v>908</v>
      </c>
      <c r="C55" s="141" t="s">
        <v>1122</v>
      </c>
      <c r="D55" s="74" t="s">
        <v>918</v>
      </c>
      <c r="E55" s="74" t="s">
        <v>919</v>
      </c>
    </row>
    <row r="56" spans="1:5" x14ac:dyDescent="0.35">
      <c r="A56" s="139" t="s">
        <v>920</v>
      </c>
      <c r="B56" s="74" t="s">
        <v>908</v>
      </c>
      <c r="C56" s="141" t="s">
        <v>1123</v>
      </c>
      <c r="D56" s="74" t="s">
        <v>921</v>
      </c>
      <c r="E56" s="74" t="s">
        <v>922</v>
      </c>
    </row>
    <row r="57" spans="1:5" x14ac:dyDescent="0.35">
      <c r="A57" s="139" t="s">
        <v>923</v>
      </c>
      <c r="B57" s="74" t="s">
        <v>908</v>
      </c>
      <c r="C57" s="141" t="s">
        <v>1124</v>
      </c>
      <c r="D57" s="74" t="s">
        <v>924</v>
      </c>
      <c r="E57" s="74" t="s">
        <v>925</v>
      </c>
    </row>
    <row r="58" spans="1:5" x14ac:dyDescent="0.35">
      <c r="A58" s="139" t="s">
        <v>926</v>
      </c>
      <c r="B58" s="74" t="s">
        <v>927</v>
      </c>
      <c r="C58" s="141" t="s">
        <v>1125</v>
      </c>
      <c r="D58" s="74" t="s">
        <v>928</v>
      </c>
      <c r="E58" s="74" t="s">
        <v>929</v>
      </c>
    </row>
    <row r="59" spans="1:5" x14ac:dyDescent="0.35">
      <c r="A59" s="139" t="s">
        <v>930</v>
      </c>
      <c r="B59" s="74" t="s">
        <v>927</v>
      </c>
      <c r="C59" s="141" t="s">
        <v>1126</v>
      </c>
      <c r="D59" s="74" t="s">
        <v>931</v>
      </c>
      <c r="E59" s="74" t="s">
        <v>932</v>
      </c>
    </row>
    <row r="60" spans="1:5" x14ac:dyDescent="0.35">
      <c r="A60" s="139" t="s">
        <v>933</v>
      </c>
      <c r="B60" s="74" t="s">
        <v>927</v>
      </c>
      <c r="C60" s="141" t="s">
        <v>1127</v>
      </c>
      <c r="D60" s="74" t="s">
        <v>934</v>
      </c>
      <c r="E60" s="74" t="s">
        <v>935</v>
      </c>
    </row>
    <row r="61" spans="1:5" x14ac:dyDescent="0.35">
      <c r="A61" s="139" t="s">
        <v>936</v>
      </c>
      <c r="B61" s="74" t="s">
        <v>927</v>
      </c>
      <c r="C61" s="141" t="s">
        <v>1128</v>
      </c>
      <c r="D61" s="74" t="s">
        <v>937</v>
      </c>
      <c r="E61" s="74" t="s">
        <v>938</v>
      </c>
    </row>
    <row r="62" spans="1:5" x14ac:dyDescent="0.35">
      <c r="A62" s="139">
        <v>16</v>
      </c>
      <c r="B62" s="74" t="s">
        <v>664</v>
      </c>
      <c r="C62" s="141" t="s">
        <v>1129</v>
      </c>
      <c r="D62" s="74" t="s">
        <v>664</v>
      </c>
      <c r="E62" s="74" t="s">
        <v>939</v>
      </c>
    </row>
    <row r="63" spans="1:5" x14ac:dyDescent="0.35">
      <c r="A63" s="139" t="s">
        <v>940</v>
      </c>
      <c r="B63" s="74" t="s">
        <v>175</v>
      </c>
      <c r="C63" s="141" t="s">
        <v>1130</v>
      </c>
      <c r="D63" s="74" t="s">
        <v>941</v>
      </c>
      <c r="E63" s="74" t="s">
        <v>942</v>
      </c>
    </row>
    <row r="64" spans="1:5" x14ac:dyDescent="0.35">
      <c r="A64" s="139" t="s">
        <v>943</v>
      </c>
      <c r="B64" s="74" t="s">
        <v>175</v>
      </c>
      <c r="C64" s="141" t="s">
        <v>1131</v>
      </c>
      <c r="D64" s="74" t="s">
        <v>944</v>
      </c>
      <c r="E64" s="74" t="s">
        <v>945</v>
      </c>
    </row>
    <row r="65" spans="1:5" x14ac:dyDescent="0.35">
      <c r="A65" s="139" t="s">
        <v>946</v>
      </c>
      <c r="B65" s="74" t="s">
        <v>175</v>
      </c>
      <c r="C65" s="141" t="s">
        <v>1132</v>
      </c>
      <c r="D65" s="74" t="s">
        <v>947</v>
      </c>
      <c r="E65" s="74" t="s">
        <v>948</v>
      </c>
    </row>
    <row r="66" spans="1:5" x14ac:dyDescent="0.35">
      <c r="A66" s="139" t="s">
        <v>949</v>
      </c>
      <c r="B66" s="74" t="s">
        <v>950</v>
      </c>
      <c r="C66" s="141" t="s">
        <v>1133</v>
      </c>
      <c r="D66" s="74" t="s">
        <v>951</v>
      </c>
      <c r="E66" s="74" t="s">
        <v>952</v>
      </c>
    </row>
    <row r="67" spans="1:5" x14ac:dyDescent="0.35">
      <c r="A67" s="139" t="s">
        <v>953</v>
      </c>
      <c r="B67" s="74" t="s">
        <v>950</v>
      </c>
      <c r="C67" s="141" t="s">
        <v>1134</v>
      </c>
      <c r="D67" s="74" t="s">
        <v>954</v>
      </c>
      <c r="E67" s="74" t="s">
        <v>955</v>
      </c>
    </row>
    <row r="68" spans="1:5" x14ac:dyDescent="0.35">
      <c r="A68" s="139" t="s">
        <v>956</v>
      </c>
      <c r="B68" s="74" t="s">
        <v>950</v>
      </c>
      <c r="C68" s="141" t="s">
        <v>1135</v>
      </c>
      <c r="D68" s="74" t="s">
        <v>957</v>
      </c>
      <c r="E68" s="74" t="s">
        <v>958</v>
      </c>
    </row>
    <row r="69" spans="1:5" x14ac:dyDescent="0.35">
      <c r="A69" s="139" t="s">
        <v>959</v>
      </c>
      <c r="B69" s="74" t="s">
        <v>950</v>
      </c>
      <c r="C69" s="141" t="s">
        <v>1136</v>
      </c>
      <c r="D69" s="74" t="s">
        <v>960</v>
      </c>
      <c r="E69" s="74" t="s">
        <v>961</v>
      </c>
    </row>
    <row r="70" spans="1:5" x14ac:dyDescent="0.35">
      <c r="A70" s="139" t="s">
        <v>962</v>
      </c>
      <c r="B70" s="74" t="s">
        <v>963</v>
      </c>
      <c r="C70" s="141" t="s">
        <v>1137</v>
      </c>
      <c r="D70" s="74" t="s">
        <v>601</v>
      </c>
      <c r="E70" s="74" t="s">
        <v>964</v>
      </c>
    </row>
    <row r="71" spans="1:5" x14ac:dyDescent="0.35">
      <c r="A71" s="139" t="s">
        <v>965</v>
      </c>
      <c r="B71" s="74" t="s">
        <v>963</v>
      </c>
      <c r="C71" s="141" t="s">
        <v>1138</v>
      </c>
      <c r="D71" s="74" t="s">
        <v>966</v>
      </c>
      <c r="E71" s="74" t="s">
        <v>967</v>
      </c>
    </row>
    <row r="72" spans="1:5" x14ac:dyDescent="0.35">
      <c r="A72" s="139" t="s">
        <v>968</v>
      </c>
      <c r="B72" s="74" t="s">
        <v>963</v>
      </c>
      <c r="C72" s="141" t="s">
        <v>1139</v>
      </c>
      <c r="D72" s="74" t="s">
        <v>969</v>
      </c>
      <c r="E72" s="74" t="s">
        <v>970</v>
      </c>
    </row>
    <row r="73" spans="1:5" x14ac:dyDescent="0.35">
      <c r="A73" s="139" t="s">
        <v>971</v>
      </c>
      <c r="B73" s="74" t="s">
        <v>963</v>
      </c>
      <c r="C73" s="141" t="s">
        <v>1140</v>
      </c>
      <c r="D73" s="74" t="s">
        <v>972</v>
      </c>
      <c r="E73" s="74" t="s">
        <v>973</v>
      </c>
    </row>
    <row r="74" spans="1:5" x14ac:dyDescent="0.35">
      <c r="A74" s="139" t="s">
        <v>974</v>
      </c>
      <c r="B74" s="74" t="s">
        <v>963</v>
      </c>
      <c r="C74" s="141" t="s">
        <v>1141</v>
      </c>
      <c r="D74" s="74" t="s">
        <v>975</v>
      </c>
      <c r="E74" s="74" t="s">
        <v>976</v>
      </c>
    </row>
    <row r="75" spans="1:5" x14ac:dyDescent="0.35">
      <c r="A75" s="139" t="s">
        <v>977</v>
      </c>
      <c r="B75" s="74" t="s">
        <v>383</v>
      </c>
      <c r="C75" s="141" t="s">
        <v>1142</v>
      </c>
      <c r="D75" s="74" t="s">
        <v>978</v>
      </c>
      <c r="E75" s="74" t="s">
        <v>979</v>
      </c>
    </row>
    <row r="76" spans="1:5" x14ac:dyDescent="0.35">
      <c r="A76" s="139" t="s">
        <v>980</v>
      </c>
      <c r="B76" s="74" t="s">
        <v>383</v>
      </c>
      <c r="C76" s="141" t="s">
        <v>1143</v>
      </c>
      <c r="D76" s="74" t="s">
        <v>758</v>
      </c>
      <c r="E76" s="74" t="s">
        <v>981</v>
      </c>
    </row>
    <row r="77" spans="1:5" x14ac:dyDescent="0.35">
      <c r="A77" s="139" t="s">
        <v>982</v>
      </c>
      <c r="B77" s="74" t="s">
        <v>383</v>
      </c>
      <c r="C77" s="141" t="s">
        <v>1144</v>
      </c>
      <c r="D77" s="74" t="s">
        <v>386</v>
      </c>
      <c r="E77" s="74" t="s">
        <v>983</v>
      </c>
    </row>
    <row r="78" spans="1:5" x14ac:dyDescent="0.35">
      <c r="A78" s="139" t="s">
        <v>984</v>
      </c>
      <c r="B78" s="74" t="s">
        <v>383</v>
      </c>
      <c r="C78" s="141" t="s">
        <v>1145</v>
      </c>
      <c r="D78" s="74" t="s">
        <v>761</v>
      </c>
      <c r="E78" s="74" t="s">
        <v>985</v>
      </c>
    </row>
    <row r="79" spans="1:5" x14ac:dyDescent="0.35">
      <c r="A79" s="139" t="s">
        <v>986</v>
      </c>
      <c r="B79" s="74" t="s">
        <v>383</v>
      </c>
      <c r="C79" s="141" t="s">
        <v>1146</v>
      </c>
      <c r="D79" s="74" t="s">
        <v>987</v>
      </c>
      <c r="E79" s="74" t="s">
        <v>988</v>
      </c>
    </row>
    <row r="80" spans="1:5" x14ac:dyDescent="0.35">
      <c r="A80" s="139" t="s">
        <v>989</v>
      </c>
      <c r="B80" s="74" t="s">
        <v>383</v>
      </c>
      <c r="C80" s="141" t="s">
        <v>1147</v>
      </c>
      <c r="D80" s="74" t="s">
        <v>990</v>
      </c>
      <c r="E80" s="74" t="s">
        <v>991</v>
      </c>
    </row>
    <row r="81" spans="1:5" x14ac:dyDescent="0.35">
      <c r="A81" s="139" t="s">
        <v>992</v>
      </c>
      <c r="B81" s="74" t="s">
        <v>993</v>
      </c>
      <c r="C81" s="141" t="s">
        <v>1148</v>
      </c>
      <c r="D81" s="74" t="s">
        <v>994</v>
      </c>
      <c r="E81" s="74" t="s">
        <v>995</v>
      </c>
    </row>
    <row r="82" spans="1:5" x14ac:dyDescent="0.35">
      <c r="A82" s="139" t="s">
        <v>996</v>
      </c>
      <c r="B82" s="74" t="s">
        <v>993</v>
      </c>
      <c r="C82" s="141" t="s">
        <v>1149</v>
      </c>
      <c r="D82" s="74" t="s">
        <v>997</v>
      </c>
      <c r="E82" s="74" t="s">
        <v>998</v>
      </c>
    </row>
    <row r="83" spans="1:5" x14ac:dyDescent="0.35">
      <c r="A83" s="139" t="s">
        <v>999</v>
      </c>
      <c r="B83" s="74" t="s">
        <v>993</v>
      </c>
      <c r="C83" s="141" t="s">
        <v>1150</v>
      </c>
      <c r="D83" s="74" t="s">
        <v>1000</v>
      </c>
      <c r="E83" s="74" t="s">
        <v>1001</v>
      </c>
    </row>
    <row r="84" spans="1:5" x14ac:dyDescent="0.35">
      <c r="A84" s="139" t="s">
        <v>1002</v>
      </c>
      <c r="B84" s="74" t="s">
        <v>993</v>
      </c>
      <c r="C84" s="141" t="s">
        <v>1151</v>
      </c>
      <c r="D84" s="74" t="s">
        <v>1003</v>
      </c>
      <c r="E84" s="74" t="s">
        <v>1004</v>
      </c>
    </row>
    <row r="85" spans="1:5" x14ac:dyDescent="0.35">
      <c r="A85" s="139" t="s">
        <v>1005</v>
      </c>
      <c r="B85" s="74" t="s">
        <v>993</v>
      </c>
      <c r="C85" s="141" t="s">
        <v>1152</v>
      </c>
      <c r="D85" s="74" t="s">
        <v>1006</v>
      </c>
      <c r="E85" s="74" t="s">
        <v>1007</v>
      </c>
    </row>
    <row r="86" spans="1:5" x14ac:dyDescent="0.35">
      <c r="A86" s="139" t="s">
        <v>1008</v>
      </c>
      <c r="B86" s="74" t="s">
        <v>993</v>
      </c>
      <c r="C86" s="141" t="s">
        <v>1153</v>
      </c>
      <c r="D86" s="74" t="s">
        <v>1009</v>
      </c>
      <c r="E86" s="74" t="s">
        <v>1010</v>
      </c>
    </row>
    <row r="87" spans="1:5" x14ac:dyDescent="0.35">
      <c r="A87" s="139" t="s">
        <v>1011</v>
      </c>
      <c r="B87" s="74" t="s">
        <v>993</v>
      </c>
      <c r="C87" s="141" t="s">
        <v>1154</v>
      </c>
      <c r="D87" s="74" t="s">
        <v>1012</v>
      </c>
      <c r="E87" s="74" t="s">
        <v>1013</v>
      </c>
    </row>
    <row r="88" spans="1:5" x14ac:dyDescent="0.35">
      <c r="A88" s="139" t="s">
        <v>1014</v>
      </c>
      <c r="B88" s="74" t="s">
        <v>1015</v>
      </c>
      <c r="C88" s="141" t="s">
        <v>1155</v>
      </c>
      <c r="D88" s="74" t="s">
        <v>849</v>
      </c>
      <c r="E88" s="74" t="s">
        <v>1016</v>
      </c>
    </row>
    <row r="89" spans="1:5" x14ac:dyDescent="0.35">
      <c r="A89" s="139" t="s">
        <v>1017</v>
      </c>
      <c r="B89" s="74" t="s">
        <v>1015</v>
      </c>
      <c r="C89" s="141" t="s">
        <v>1156</v>
      </c>
      <c r="D89" s="74" t="s">
        <v>908</v>
      </c>
      <c r="E89" s="74" t="s">
        <v>1018</v>
      </c>
    </row>
    <row r="90" spans="1:5" x14ac:dyDescent="0.35">
      <c r="A90" s="139" t="s">
        <v>1019</v>
      </c>
      <c r="B90" s="74" t="s">
        <v>1015</v>
      </c>
      <c r="C90" s="141" t="s">
        <v>1157</v>
      </c>
      <c r="D90" s="74" t="s">
        <v>918</v>
      </c>
      <c r="E90" s="74" t="s">
        <v>1020</v>
      </c>
    </row>
    <row r="91" spans="1:5" x14ac:dyDescent="0.35">
      <c r="A91" s="139" t="s">
        <v>1021</v>
      </c>
      <c r="B91" s="74" t="s">
        <v>1015</v>
      </c>
      <c r="C91" s="141" t="s">
        <v>1158</v>
      </c>
      <c r="D91" s="74" t="s">
        <v>1022</v>
      </c>
      <c r="E91" s="74" t="s">
        <v>1023</v>
      </c>
    </row>
    <row r="92" spans="1:5" x14ac:dyDescent="0.35">
      <c r="A92" s="139" t="s">
        <v>1024</v>
      </c>
      <c r="B92" s="74" t="s">
        <v>1025</v>
      </c>
      <c r="C92" s="141" t="s">
        <v>1159</v>
      </c>
      <c r="D92" s="74" t="s">
        <v>1026</v>
      </c>
      <c r="E92" s="74" t="s">
        <v>1027</v>
      </c>
    </row>
    <row r="93" spans="1:5" x14ac:dyDescent="0.35">
      <c r="A93" s="139" t="s">
        <v>1028</v>
      </c>
      <c r="B93" s="74" t="s">
        <v>1025</v>
      </c>
      <c r="C93" s="141" t="s">
        <v>1160</v>
      </c>
      <c r="D93" s="74" t="s">
        <v>1029</v>
      </c>
      <c r="E93" s="74" t="s">
        <v>1030</v>
      </c>
    </row>
    <row r="94" spans="1:5" x14ac:dyDescent="0.35">
      <c r="A94" s="139" t="s">
        <v>1031</v>
      </c>
      <c r="B94" s="74" t="s">
        <v>1025</v>
      </c>
      <c r="C94" s="141" t="s">
        <v>1161</v>
      </c>
      <c r="D94" s="74" t="s">
        <v>1032</v>
      </c>
      <c r="E94" s="74" t="s">
        <v>1033</v>
      </c>
    </row>
    <row r="95" spans="1:5" x14ac:dyDescent="0.35">
      <c r="A95" s="139" t="s">
        <v>1034</v>
      </c>
      <c r="B95" s="74" t="s">
        <v>1025</v>
      </c>
      <c r="C95" s="141" t="s">
        <v>1162</v>
      </c>
      <c r="D95" s="74" t="s">
        <v>1035</v>
      </c>
      <c r="E95" s="74" t="s">
        <v>1036</v>
      </c>
    </row>
    <row r="96" spans="1:5" x14ac:dyDescent="0.35">
      <c r="A96" s="139" t="s">
        <v>1037</v>
      </c>
      <c r="B96" s="74" t="s">
        <v>1025</v>
      </c>
      <c r="C96" s="141" t="s">
        <v>1163</v>
      </c>
      <c r="D96" s="74" t="s">
        <v>1038</v>
      </c>
      <c r="E96" s="74" t="s">
        <v>1039</v>
      </c>
    </row>
    <row r="97" spans="1:5" x14ac:dyDescent="0.35">
      <c r="A97" s="139" t="s">
        <v>1040</v>
      </c>
      <c r="B97" s="74" t="s">
        <v>1025</v>
      </c>
      <c r="C97" s="141" t="s">
        <v>1164</v>
      </c>
      <c r="D97" s="74" t="s">
        <v>1041</v>
      </c>
      <c r="E97" s="74" t="s">
        <v>1042</v>
      </c>
    </row>
    <row r="98" spans="1:5" x14ac:dyDescent="0.35">
      <c r="A98" s="139" t="s">
        <v>1043</v>
      </c>
      <c r="B98" s="74" t="s">
        <v>1025</v>
      </c>
      <c r="C98" s="141" t="s">
        <v>1165</v>
      </c>
      <c r="D98" s="74" t="s">
        <v>1044</v>
      </c>
      <c r="E98" s="74" t="s">
        <v>1045</v>
      </c>
    </row>
    <row r="99" spans="1:5" x14ac:dyDescent="0.35">
      <c r="A99" s="139" t="s">
        <v>1046</v>
      </c>
      <c r="B99" s="74" t="s">
        <v>1025</v>
      </c>
      <c r="C99" s="141" t="s">
        <v>1166</v>
      </c>
      <c r="D99" s="74" t="s">
        <v>1047</v>
      </c>
      <c r="E99" s="74" t="s">
        <v>1048</v>
      </c>
    </row>
    <row r="100" spans="1:5" x14ac:dyDescent="0.35">
      <c r="A100" s="139" t="s">
        <v>1049</v>
      </c>
      <c r="B100" s="74" t="s">
        <v>1025</v>
      </c>
      <c r="C100" s="141" t="s">
        <v>1167</v>
      </c>
      <c r="D100" s="74" t="s">
        <v>1050</v>
      </c>
      <c r="E100" s="74" t="s">
        <v>1051</v>
      </c>
    </row>
    <row r="101" spans="1:5" x14ac:dyDescent="0.35">
      <c r="A101" s="139" t="s">
        <v>1052</v>
      </c>
      <c r="B101" s="74" t="s">
        <v>1025</v>
      </c>
      <c r="C101" s="141" t="s">
        <v>1168</v>
      </c>
      <c r="D101" s="74" t="s">
        <v>1053</v>
      </c>
      <c r="E101" s="74" t="s">
        <v>1054</v>
      </c>
    </row>
    <row r="102" spans="1:5" x14ac:dyDescent="0.35">
      <c r="A102" s="139" t="s">
        <v>1055</v>
      </c>
      <c r="B102" s="74" t="s">
        <v>1025</v>
      </c>
      <c r="C102" s="141" t="s">
        <v>1169</v>
      </c>
      <c r="D102" s="74" t="s">
        <v>1056</v>
      </c>
      <c r="E102" s="74" t="s">
        <v>1057</v>
      </c>
    </row>
    <row r="103" spans="1:5" x14ac:dyDescent="0.35">
      <c r="A103" s="139" t="s">
        <v>1058</v>
      </c>
      <c r="B103" s="74" t="s">
        <v>1025</v>
      </c>
      <c r="C103" s="141" t="s">
        <v>1170</v>
      </c>
      <c r="D103" s="74" t="s">
        <v>1059</v>
      </c>
      <c r="E103" s="74" t="s">
        <v>1060</v>
      </c>
    </row>
  </sheetData>
  <phoneticPr fontId="14" type="noConversion"/>
  <printOptions gridLines="1"/>
  <pageMargins left="0.23622047244094491" right="0.23622047244094491" top="0.74803149606299213" bottom="0.74803149606299213" header="0.31496062992125984" footer="0.31496062992125984"/>
  <pageSetup paperSize="9" scale="61"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D87E-40AC-47C1-9902-C0F2E8AD1A95}">
  <dimension ref="B1:F68"/>
  <sheetViews>
    <sheetView workbookViewId="0">
      <selection activeCell="H16" sqref="H16"/>
    </sheetView>
  </sheetViews>
  <sheetFormatPr defaultRowHeight="14.5" x14ac:dyDescent="0.35"/>
  <cols>
    <col min="2" max="2" width="64" customWidth="1"/>
    <col min="3" max="3" width="11.36328125" customWidth="1"/>
    <col min="4" max="4" width="62.81640625" customWidth="1"/>
    <col min="5" max="5" width="35.90625" customWidth="1"/>
    <col min="6" max="6" width="21.6328125" customWidth="1"/>
  </cols>
  <sheetData>
    <row r="1" spans="2:6" x14ac:dyDescent="0.35">
      <c r="B1" s="136" t="s">
        <v>771</v>
      </c>
      <c r="C1" s="134" t="s">
        <v>615</v>
      </c>
      <c r="D1" s="134" t="s">
        <v>616</v>
      </c>
      <c r="F1" t="s">
        <v>1067</v>
      </c>
    </row>
    <row r="2" spans="2:6" ht="29" x14ac:dyDescent="0.35">
      <c r="B2" s="94" t="s">
        <v>763</v>
      </c>
      <c r="C2" s="135" t="s">
        <v>617</v>
      </c>
      <c r="D2" s="135" t="s">
        <v>618</v>
      </c>
      <c r="E2" t="s">
        <v>779</v>
      </c>
      <c r="F2" t="s">
        <v>799</v>
      </c>
    </row>
    <row r="3" spans="2:6" x14ac:dyDescent="0.35">
      <c r="B3" s="94" t="s">
        <v>763</v>
      </c>
      <c r="C3" s="135" t="s">
        <v>619</v>
      </c>
      <c r="D3" s="135" t="s">
        <v>620</v>
      </c>
      <c r="E3" t="s">
        <v>803</v>
      </c>
      <c r="F3" t="s">
        <v>799</v>
      </c>
    </row>
    <row r="4" spans="2:6" ht="29" x14ac:dyDescent="0.35">
      <c r="B4" s="94" t="s">
        <v>763</v>
      </c>
      <c r="C4" s="135" t="s">
        <v>621</v>
      </c>
      <c r="D4" s="135" t="s">
        <v>622</v>
      </c>
      <c r="F4" t="s">
        <v>819</v>
      </c>
    </row>
    <row r="5" spans="2:6" x14ac:dyDescent="0.35">
      <c r="B5" s="94" t="s">
        <v>763</v>
      </c>
      <c r="C5" s="135" t="s">
        <v>623</v>
      </c>
      <c r="D5" s="135" t="s">
        <v>624</v>
      </c>
      <c r="F5" t="s">
        <v>819</v>
      </c>
    </row>
    <row r="6" spans="2:6" x14ac:dyDescent="0.35">
      <c r="B6" s="94" t="s">
        <v>763</v>
      </c>
      <c r="C6" s="135" t="s">
        <v>625</v>
      </c>
      <c r="D6" s="135" t="s">
        <v>626</v>
      </c>
      <c r="F6" t="s">
        <v>799</v>
      </c>
    </row>
    <row r="7" spans="2:6" x14ac:dyDescent="0.35">
      <c r="B7" s="94" t="s">
        <v>763</v>
      </c>
      <c r="C7" s="135" t="s">
        <v>627</v>
      </c>
      <c r="D7" s="135" t="s">
        <v>628</v>
      </c>
      <c r="F7" t="s">
        <v>799</v>
      </c>
    </row>
    <row r="8" spans="2:6" x14ac:dyDescent="0.35">
      <c r="B8" s="94" t="s">
        <v>763</v>
      </c>
      <c r="C8" s="135" t="s">
        <v>629</v>
      </c>
      <c r="D8" s="135" t="s">
        <v>630</v>
      </c>
      <c r="F8" t="s">
        <v>799</v>
      </c>
    </row>
    <row r="9" spans="2:6" ht="29" x14ac:dyDescent="0.35">
      <c r="B9" s="94" t="s">
        <v>763</v>
      </c>
      <c r="C9" s="135" t="s">
        <v>631</v>
      </c>
      <c r="D9" s="135" t="s">
        <v>632</v>
      </c>
    </row>
    <row r="10" spans="2:6" x14ac:dyDescent="0.35">
      <c r="B10" s="94" t="s">
        <v>763</v>
      </c>
      <c r="C10" s="135" t="s">
        <v>633</v>
      </c>
      <c r="D10" s="135" t="s">
        <v>634</v>
      </c>
    </row>
    <row r="11" spans="2:6" ht="29" x14ac:dyDescent="0.35">
      <c r="B11" s="94" t="s">
        <v>763</v>
      </c>
      <c r="C11" s="135" t="s">
        <v>635</v>
      </c>
      <c r="D11" s="135" t="s">
        <v>636</v>
      </c>
      <c r="F11" t="s">
        <v>846</v>
      </c>
    </row>
    <row r="12" spans="2:6" ht="29" x14ac:dyDescent="0.35">
      <c r="B12" s="94" t="s">
        <v>763</v>
      </c>
      <c r="C12" s="135" t="s">
        <v>637</v>
      </c>
      <c r="D12" s="135" t="s">
        <v>638</v>
      </c>
    </row>
    <row r="13" spans="2:6" ht="29" x14ac:dyDescent="0.35">
      <c r="B13" s="94" t="s">
        <v>763</v>
      </c>
      <c r="C13" s="135" t="s">
        <v>639</v>
      </c>
      <c r="D13" s="135" t="s">
        <v>640</v>
      </c>
    </row>
    <row r="14" spans="2:6" ht="29" x14ac:dyDescent="0.35">
      <c r="B14" s="94" t="s">
        <v>764</v>
      </c>
      <c r="C14" s="135" t="s">
        <v>641</v>
      </c>
      <c r="D14" s="135" t="s">
        <v>642</v>
      </c>
      <c r="E14" t="s">
        <v>788</v>
      </c>
    </row>
    <row r="15" spans="2:6" ht="29" x14ac:dyDescent="0.35">
      <c r="B15" s="94" t="s">
        <v>764</v>
      </c>
      <c r="C15" s="135" t="s">
        <v>643</v>
      </c>
      <c r="D15" s="135" t="s">
        <v>644</v>
      </c>
    </row>
    <row r="16" spans="2:6" ht="29" x14ac:dyDescent="0.35">
      <c r="B16" s="94" t="s">
        <v>765</v>
      </c>
      <c r="C16" s="135" t="s">
        <v>645</v>
      </c>
      <c r="D16" s="135" t="s">
        <v>646</v>
      </c>
    </row>
    <row r="17" spans="2:4" x14ac:dyDescent="0.35">
      <c r="C17" s="135" t="s">
        <v>647</v>
      </c>
      <c r="D17" s="135" t="s">
        <v>648</v>
      </c>
    </row>
    <row r="18" spans="2:4" x14ac:dyDescent="0.35">
      <c r="B18" s="94" t="s">
        <v>766</v>
      </c>
      <c r="C18" s="135" t="s">
        <v>649</v>
      </c>
      <c r="D18" s="135" t="s">
        <v>650</v>
      </c>
    </row>
    <row r="19" spans="2:4" ht="29" x14ac:dyDescent="0.35">
      <c r="B19" s="94" t="s">
        <v>766</v>
      </c>
      <c r="C19" s="135" t="s">
        <v>651</v>
      </c>
      <c r="D19" s="135" t="s">
        <v>652</v>
      </c>
    </row>
    <row r="20" spans="2:4" ht="29" x14ac:dyDescent="0.35">
      <c r="B20" s="94" t="s">
        <v>766</v>
      </c>
      <c r="C20" s="135" t="s">
        <v>653</v>
      </c>
      <c r="D20" s="135" t="s">
        <v>654</v>
      </c>
    </row>
    <row r="21" spans="2:4" ht="29" x14ac:dyDescent="0.35">
      <c r="B21" s="94" t="s">
        <v>767</v>
      </c>
      <c r="C21" s="135" t="s">
        <v>655</v>
      </c>
      <c r="D21" s="135" t="s">
        <v>656</v>
      </c>
    </row>
    <row r="22" spans="2:4" x14ac:dyDescent="0.35">
      <c r="B22" s="94" t="s">
        <v>767</v>
      </c>
      <c r="C22" s="135" t="s">
        <v>657</v>
      </c>
      <c r="D22" s="135" t="s">
        <v>658</v>
      </c>
    </row>
    <row r="23" spans="2:4" ht="29" x14ac:dyDescent="0.35">
      <c r="B23" s="94" t="s">
        <v>767</v>
      </c>
      <c r="C23" s="135" t="s">
        <v>659</v>
      </c>
      <c r="D23" s="135" t="s">
        <v>660</v>
      </c>
    </row>
    <row r="24" spans="2:4" ht="29" x14ac:dyDescent="0.35">
      <c r="B24" s="94" t="s">
        <v>767</v>
      </c>
      <c r="C24" s="135" t="s">
        <v>661</v>
      </c>
      <c r="D24" s="135" t="s">
        <v>662</v>
      </c>
    </row>
    <row r="25" spans="2:4" x14ac:dyDescent="0.35">
      <c r="B25" s="94" t="s">
        <v>768</v>
      </c>
      <c r="C25" s="135" t="s">
        <v>663</v>
      </c>
      <c r="D25" s="135" t="s">
        <v>664</v>
      </c>
    </row>
    <row r="26" spans="2:4" x14ac:dyDescent="0.35">
      <c r="B26" s="94" t="s">
        <v>768</v>
      </c>
      <c r="C26" s="135" t="s">
        <v>665</v>
      </c>
      <c r="D26" s="135" t="s">
        <v>666</v>
      </c>
    </row>
    <row r="27" spans="2:4" ht="29" x14ac:dyDescent="0.35">
      <c r="B27" s="94" t="s">
        <v>772</v>
      </c>
      <c r="C27" s="135">
        <v>6</v>
      </c>
      <c r="D27" s="135" t="s">
        <v>667</v>
      </c>
    </row>
    <row r="28" spans="2:4" ht="29" x14ac:dyDescent="0.35">
      <c r="B28" s="94" t="s">
        <v>769</v>
      </c>
      <c r="C28" s="135" t="s">
        <v>668</v>
      </c>
      <c r="D28" s="135" t="s">
        <v>669</v>
      </c>
    </row>
    <row r="29" spans="2:4" x14ac:dyDescent="0.35">
      <c r="B29" s="94" t="s">
        <v>769</v>
      </c>
      <c r="C29" s="135" t="s">
        <v>670</v>
      </c>
      <c r="D29" s="135" t="s">
        <v>671</v>
      </c>
    </row>
    <row r="30" spans="2:4" x14ac:dyDescent="0.35">
      <c r="B30" s="94" t="s">
        <v>769</v>
      </c>
      <c r="C30" s="135" t="s">
        <v>672</v>
      </c>
      <c r="D30" s="135" t="s">
        <v>673</v>
      </c>
    </row>
    <row r="31" spans="2:4" x14ac:dyDescent="0.35">
      <c r="B31" s="94" t="s">
        <v>769</v>
      </c>
      <c r="C31" s="135" t="s">
        <v>674</v>
      </c>
      <c r="D31" s="135" t="s">
        <v>675</v>
      </c>
    </row>
    <row r="32" spans="2:4" x14ac:dyDescent="0.35">
      <c r="B32" s="94" t="s">
        <v>769</v>
      </c>
      <c r="C32" s="135" t="s">
        <v>676</v>
      </c>
      <c r="D32" s="135" t="s">
        <v>677</v>
      </c>
    </row>
    <row r="33" spans="2:4" x14ac:dyDescent="0.35">
      <c r="B33" s="94" t="s">
        <v>769</v>
      </c>
      <c r="C33" s="135" t="s">
        <v>678</v>
      </c>
      <c r="D33" s="135" t="s">
        <v>679</v>
      </c>
    </row>
    <row r="34" spans="2:4" x14ac:dyDescent="0.35">
      <c r="B34" s="94" t="s">
        <v>769</v>
      </c>
      <c r="C34" s="135" t="s">
        <v>680</v>
      </c>
      <c r="D34" s="135" t="s">
        <v>681</v>
      </c>
    </row>
    <row r="35" spans="2:4" x14ac:dyDescent="0.35">
      <c r="B35" s="94" t="s">
        <v>769</v>
      </c>
      <c r="C35" s="135" t="s">
        <v>682</v>
      </c>
      <c r="D35" s="135" t="s">
        <v>683</v>
      </c>
    </row>
    <row r="36" spans="2:4" x14ac:dyDescent="0.35">
      <c r="B36" s="94" t="s">
        <v>769</v>
      </c>
      <c r="C36" s="135" t="s">
        <v>684</v>
      </c>
      <c r="D36" s="135" t="s">
        <v>685</v>
      </c>
    </row>
    <row r="37" spans="2:4" ht="29" x14ac:dyDescent="0.35">
      <c r="B37" s="94" t="s">
        <v>769</v>
      </c>
      <c r="C37" s="135" t="s">
        <v>686</v>
      </c>
      <c r="D37" s="135" t="s">
        <v>687</v>
      </c>
    </row>
    <row r="38" spans="2:4" ht="29" x14ac:dyDescent="0.35">
      <c r="B38" s="94" t="s">
        <v>770</v>
      </c>
      <c r="C38" s="135" t="s">
        <v>688</v>
      </c>
      <c r="D38" s="135" t="s">
        <v>689</v>
      </c>
    </row>
    <row r="39" spans="2:4" ht="29" x14ac:dyDescent="0.35">
      <c r="B39" s="94" t="s">
        <v>770</v>
      </c>
      <c r="C39" s="135" t="s">
        <v>690</v>
      </c>
      <c r="D39" s="135" t="s">
        <v>691</v>
      </c>
    </row>
    <row r="40" spans="2:4" x14ac:dyDescent="0.35">
      <c r="B40" s="94" t="s">
        <v>770</v>
      </c>
      <c r="C40" s="135" t="s">
        <v>692</v>
      </c>
      <c r="D40" s="135" t="s">
        <v>693</v>
      </c>
    </row>
    <row r="41" spans="2:4" ht="29" x14ac:dyDescent="0.35">
      <c r="B41" s="94" t="s">
        <v>770</v>
      </c>
      <c r="C41" s="135" t="s">
        <v>694</v>
      </c>
      <c r="D41" s="135" t="s">
        <v>695</v>
      </c>
    </row>
    <row r="42" spans="2:4" x14ac:dyDescent="0.35">
      <c r="B42" s="94" t="s">
        <v>770</v>
      </c>
      <c r="C42" s="135" t="s">
        <v>696</v>
      </c>
      <c r="D42" s="135" t="s">
        <v>697</v>
      </c>
    </row>
    <row r="43" spans="2:4" ht="29" x14ac:dyDescent="0.35">
      <c r="B43" s="94" t="s">
        <v>770</v>
      </c>
      <c r="C43" s="135" t="s">
        <v>698</v>
      </c>
      <c r="D43" s="135" t="s">
        <v>699</v>
      </c>
    </row>
    <row r="44" spans="2:4" x14ac:dyDescent="0.35">
      <c r="B44" s="94" t="s">
        <v>770</v>
      </c>
      <c r="C44" s="135" t="s">
        <v>700</v>
      </c>
      <c r="D44" s="135" t="s">
        <v>701</v>
      </c>
    </row>
    <row r="45" spans="2:4" x14ac:dyDescent="0.35">
      <c r="B45" s="94" t="s">
        <v>770</v>
      </c>
      <c r="C45" s="135" t="s">
        <v>702</v>
      </c>
      <c r="D45" s="135" t="s">
        <v>703</v>
      </c>
    </row>
    <row r="46" spans="2:4" x14ac:dyDescent="0.35">
      <c r="B46" s="94" t="s">
        <v>770</v>
      </c>
      <c r="C46" s="135" t="s">
        <v>704</v>
      </c>
      <c r="D46" s="135" t="s">
        <v>705</v>
      </c>
    </row>
    <row r="47" spans="2:4" x14ac:dyDescent="0.35">
      <c r="B47" s="94" t="s">
        <v>770</v>
      </c>
      <c r="C47" s="135" t="s">
        <v>706</v>
      </c>
      <c r="D47" s="135" t="s">
        <v>707</v>
      </c>
    </row>
    <row r="48" spans="2:4" ht="29" x14ac:dyDescent="0.35">
      <c r="B48" s="94" t="s">
        <v>770</v>
      </c>
      <c r="C48" s="135" t="s">
        <v>708</v>
      </c>
      <c r="D48" s="135" t="s">
        <v>709</v>
      </c>
    </row>
    <row r="50" spans="2:4" x14ac:dyDescent="0.35">
      <c r="B50" s="134" t="s">
        <v>710</v>
      </c>
      <c r="C50" s="134" t="s">
        <v>615</v>
      </c>
      <c r="D50" s="134" t="s">
        <v>711</v>
      </c>
    </row>
    <row r="51" spans="2:4" ht="29" x14ac:dyDescent="0.35">
      <c r="B51" s="135" t="s">
        <v>713</v>
      </c>
      <c r="C51" s="135" t="s">
        <v>712</v>
      </c>
      <c r="D51" s="135" t="s">
        <v>714</v>
      </c>
    </row>
    <row r="52" spans="2:4" ht="29" x14ac:dyDescent="0.35">
      <c r="B52" s="135" t="s">
        <v>716</v>
      </c>
      <c r="C52" s="135" t="s">
        <v>715</v>
      </c>
      <c r="D52" s="135" t="s">
        <v>717</v>
      </c>
    </row>
    <row r="53" spans="2:4" x14ac:dyDescent="0.35">
      <c r="B53" s="135" t="s">
        <v>719</v>
      </c>
      <c r="C53" s="135" t="s">
        <v>718</v>
      </c>
      <c r="D53" s="135" t="s">
        <v>720</v>
      </c>
    </row>
    <row r="54" spans="2:4" x14ac:dyDescent="0.35">
      <c r="B54" s="135" t="s">
        <v>722</v>
      </c>
      <c r="C54" s="135" t="s">
        <v>721</v>
      </c>
      <c r="D54" s="135" t="s">
        <v>723</v>
      </c>
    </row>
    <row r="55" spans="2:4" ht="29" x14ac:dyDescent="0.35">
      <c r="B55" s="135" t="s">
        <v>725</v>
      </c>
      <c r="C55" s="135" t="s">
        <v>724</v>
      </c>
      <c r="D55" s="135" t="s">
        <v>726</v>
      </c>
    </row>
    <row r="56" spans="2:4" x14ac:dyDescent="0.35">
      <c r="B56" s="135" t="s">
        <v>728</v>
      </c>
      <c r="C56" s="135" t="s">
        <v>727</v>
      </c>
      <c r="D56" s="135" t="s">
        <v>729</v>
      </c>
    </row>
    <row r="57" spans="2:4" ht="43.5" x14ac:dyDescent="0.35">
      <c r="B57" s="135" t="s">
        <v>731</v>
      </c>
      <c r="C57" s="135" t="s">
        <v>730</v>
      </c>
      <c r="D57" s="135" t="s">
        <v>732</v>
      </c>
    </row>
    <row r="58" spans="2:4" ht="29" x14ac:dyDescent="0.35">
      <c r="B58" s="135" t="s">
        <v>734</v>
      </c>
      <c r="C58" s="135" t="s">
        <v>733</v>
      </c>
      <c r="D58" s="135" t="s">
        <v>735</v>
      </c>
    </row>
    <row r="59" spans="2:4" ht="29" x14ac:dyDescent="0.35">
      <c r="B59" s="135" t="s">
        <v>737</v>
      </c>
      <c r="C59" s="135" t="s">
        <v>736</v>
      </c>
      <c r="D59" s="135" t="s">
        <v>738</v>
      </c>
    </row>
    <row r="60" spans="2:4" ht="29" x14ac:dyDescent="0.35">
      <c r="B60" s="135" t="s">
        <v>740</v>
      </c>
      <c r="C60" s="135" t="s">
        <v>739</v>
      </c>
      <c r="D60" s="135" t="s">
        <v>741</v>
      </c>
    </row>
    <row r="61" spans="2:4" ht="43.5" x14ac:dyDescent="0.35">
      <c r="B61" s="135" t="s">
        <v>743</v>
      </c>
      <c r="C61" s="135" t="s">
        <v>742</v>
      </c>
      <c r="D61" s="135" t="s">
        <v>744</v>
      </c>
    </row>
    <row r="62" spans="2:4" ht="43.5" x14ac:dyDescent="0.35">
      <c r="B62" s="135" t="s">
        <v>746</v>
      </c>
      <c r="C62" s="135" t="s">
        <v>745</v>
      </c>
      <c r="D62" s="135" t="s">
        <v>747</v>
      </c>
    </row>
    <row r="63" spans="2:4" ht="29" x14ac:dyDescent="0.35">
      <c r="B63" s="135" t="s">
        <v>749</v>
      </c>
      <c r="C63" s="135" t="s">
        <v>748</v>
      </c>
      <c r="D63" s="135" t="s">
        <v>750</v>
      </c>
    </row>
    <row r="64" spans="2:4" ht="29" x14ac:dyDescent="0.35">
      <c r="B64" s="135" t="s">
        <v>752</v>
      </c>
      <c r="C64" s="135" t="s">
        <v>751</v>
      </c>
      <c r="D64" s="135" t="s">
        <v>753</v>
      </c>
    </row>
    <row r="65" spans="2:4" ht="29" x14ac:dyDescent="0.35">
      <c r="B65" s="135" t="s">
        <v>755</v>
      </c>
      <c r="C65" s="135" t="s">
        <v>754</v>
      </c>
      <c r="D65" s="135" t="s">
        <v>756</v>
      </c>
    </row>
    <row r="66" spans="2:4" ht="29" x14ac:dyDescent="0.35">
      <c r="B66" s="135" t="s">
        <v>758</v>
      </c>
      <c r="C66" s="135" t="s">
        <v>757</v>
      </c>
      <c r="D66" s="135" t="s">
        <v>759</v>
      </c>
    </row>
    <row r="67" spans="2:4" ht="29" x14ac:dyDescent="0.35">
      <c r="B67" s="135" t="s">
        <v>386</v>
      </c>
      <c r="C67" s="135" t="s">
        <v>72</v>
      </c>
      <c r="D67" s="135" t="s">
        <v>760</v>
      </c>
    </row>
    <row r="68" spans="2:4" ht="29" x14ac:dyDescent="0.35">
      <c r="B68" s="135" t="s">
        <v>761</v>
      </c>
      <c r="C68" s="135" t="s">
        <v>84</v>
      </c>
      <c r="D68" s="135" t="s">
        <v>762</v>
      </c>
    </row>
  </sheetData>
  <phoneticPr fontId="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AF0EDAB-2CD7-4A62-A2FE-281032DE7B3E}">
          <x14:formula1>
            <xm:f>GMED!$D$2:$D$103</xm:f>
          </x14:formula1>
          <xm:sqref>E2:E68</xm:sqref>
        </x14:dataValidation>
        <x14:dataValidation type="list" allowBlank="1" showInputMessage="1" showErrorMessage="1" xr:uid="{1556EBE0-9A8E-4699-8C81-62D23B1D9230}">
          <x14:formula1>
            <xm:f>GMED!$B$2:$B$87</xm:f>
          </x14:formula1>
          <xm:sqref>F2:F68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B4DA-CC0D-47C2-A23C-864DEF196D6F}">
  <dimension ref="A3:C21"/>
  <sheetViews>
    <sheetView workbookViewId="0">
      <selection activeCell="F10" sqref="F10"/>
    </sheetView>
  </sheetViews>
  <sheetFormatPr defaultColWidth="11.453125" defaultRowHeight="14.5" x14ac:dyDescent="0.35"/>
  <cols>
    <col min="1" max="1" width="34.81640625" bestFit="1" customWidth="1"/>
    <col min="2" max="2" width="22.26953125" customWidth="1"/>
    <col min="3" max="3" width="29.1796875" bestFit="1" customWidth="1"/>
  </cols>
  <sheetData>
    <row r="3" spans="1:3" ht="32.25" customHeight="1" x14ac:dyDescent="0.35">
      <c r="A3" s="30" t="s">
        <v>4</v>
      </c>
      <c r="B3" s="27" t="s">
        <v>10</v>
      </c>
      <c r="C3" s="30" t="s">
        <v>11</v>
      </c>
    </row>
    <row r="4" spans="1:3" ht="24.75" customHeight="1" x14ac:dyDescent="0.35">
      <c r="A4" s="39" t="s">
        <v>137</v>
      </c>
      <c r="B4" s="39" t="s">
        <v>35</v>
      </c>
      <c r="C4" s="39" t="s">
        <v>139</v>
      </c>
    </row>
    <row r="5" spans="1:3" ht="24.75" customHeight="1" x14ac:dyDescent="0.35">
      <c r="A5" s="61" t="s">
        <v>232</v>
      </c>
      <c r="B5" s="61" t="s">
        <v>24</v>
      </c>
      <c r="C5" s="61" t="s">
        <v>410</v>
      </c>
    </row>
    <row r="6" spans="1:3" ht="24.75" customHeight="1" x14ac:dyDescent="0.35">
      <c r="A6" s="61" t="s">
        <v>33</v>
      </c>
      <c r="B6" s="61" t="s">
        <v>35</v>
      </c>
      <c r="C6" s="61" t="s">
        <v>36</v>
      </c>
    </row>
    <row r="7" spans="1:3" ht="24.75" customHeight="1" x14ac:dyDescent="0.35">
      <c r="A7" s="61" t="s">
        <v>175</v>
      </c>
      <c r="B7" s="61" t="s">
        <v>35</v>
      </c>
      <c r="C7" s="61" t="s">
        <v>177</v>
      </c>
    </row>
    <row r="8" spans="1:3" ht="24.75" customHeight="1" x14ac:dyDescent="0.35">
      <c r="A8" s="61" t="s">
        <v>303</v>
      </c>
      <c r="B8" s="61" t="s">
        <v>35</v>
      </c>
      <c r="C8" s="61" t="s">
        <v>78</v>
      </c>
    </row>
    <row r="9" spans="1:3" ht="24.75" customHeight="1" x14ac:dyDescent="0.35">
      <c r="A9" s="61" t="s">
        <v>197</v>
      </c>
      <c r="B9" s="61" t="s">
        <v>24</v>
      </c>
      <c r="C9" s="61" t="s">
        <v>410</v>
      </c>
    </row>
    <row r="10" spans="1:3" ht="24.75" customHeight="1" x14ac:dyDescent="0.35">
      <c r="A10" s="61" t="s">
        <v>144</v>
      </c>
      <c r="B10" s="61" t="s">
        <v>24</v>
      </c>
      <c r="C10" s="61" t="s">
        <v>410</v>
      </c>
    </row>
    <row r="11" spans="1:3" ht="24.75" customHeight="1" x14ac:dyDescent="0.35">
      <c r="A11" s="61" t="s">
        <v>321</v>
      </c>
      <c r="B11" s="61" t="s">
        <v>24</v>
      </c>
      <c r="C11" s="61" t="s">
        <v>323</v>
      </c>
    </row>
    <row r="12" spans="1:3" ht="24.75" customHeight="1" x14ac:dyDescent="0.35">
      <c r="A12" s="61" t="s">
        <v>265</v>
      </c>
      <c r="B12" s="61" t="s">
        <v>24</v>
      </c>
      <c r="C12" s="61" t="s">
        <v>410</v>
      </c>
    </row>
    <row r="13" spans="1:3" ht="24.75" customHeight="1" x14ac:dyDescent="0.35">
      <c r="A13" s="61" t="s">
        <v>102</v>
      </c>
      <c r="B13" s="61" t="s">
        <v>35</v>
      </c>
      <c r="C13" s="61" t="s">
        <v>104</v>
      </c>
    </row>
    <row r="14" spans="1:3" ht="24.75" customHeight="1" x14ac:dyDescent="0.35">
      <c r="A14" s="61" t="s">
        <v>308</v>
      </c>
      <c r="B14" s="61" t="s">
        <v>24</v>
      </c>
      <c r="C14" s="61" t="s">
        <v>410</v>
      </c>
    </row>
    <row r="15" spans="1:3" ht="24.75" customHeight="1" x14ac:dyDescent="0.35">
      <c r="A15" s="61" t="s">
        <v>76</v>
      </c>
      <c r="B15" s="61" t="s">
        <v>35</v>
      </c>
      <c r="C15" s="61" t="s">
        <v>78</v>
      </c>
    </row>
    <row r="16" spans="1:3" ht="24.75" customHeight="1" x14ac:dyDescent="0.35">
      <c r="A16" s="61" t="s">
        <v>383</v>
      </c>
      <c r="B16" s="61" t="s">
        <v>35</v>
      </c>
      <c r="C16" s="61" t="s">
        <v>177</v>
      </c>
    </row>
    <row r="17" spans="1:3" ht="24.75" customHeight="1" x14ac:dyDescent="0.35">
      <c r="A17" s="61" t="s">
        <v>22</v>
      </c>
      <c r="B17" s="61" t="s">
        <v>24</v>
      </c>
      <c r="C17" s="61" t="s">
        <v>410</v>
      </c>
    </row>
    <row r="18" spans="1:3" ht="24.75" customHeight="1" x14ac:dyDescent="0.35">
      <c r="A18" s="62" t="s">
        <v>296</v>
      </c>
      <c r="B18" s="62" t="s">
        <v>24</v>
      </c>
      <c r="C18" s="62" t="s">
        <v>410</v>
      </c>
    </row>
    <row r="19" spans="1:3" ht="29.25" customHeight="1" x14ac:dyDescent="0.35">
      <c r="A19" s="66">
        <f>COUNTA(A4:A18)</f>
        <v>15</v>
      </c>
      <c r="B19" s="32"/>
    </row>
    <row r="20" spans="1:3" x14ac:dyDescent="0.35">
      <c r="A20" s="65" t="s">
        <v>24</v>
      </c>
      <c r="B20" s="31">
        <f>COUNTIF(B4:B18,"O")</f>
        <v>8</v>
      </c>
    </row>
    <row r="21" spans="1:3" x14ac:dyDescent="0.35">
      <c r="A21" s="63" t="s">
        <v>35</v>
      </c>
      <c r="B21" s="64">
        <f>COUNTIF(B4:B18,"N")</f>
        <v>7</v>
      </c>
    </row>
  </sheetData>
  <conditionalFormatting sqref="B4:B18">
    <cfRule type="cellIs" dxfId="0" priority="1" operator="equal">
      <formula>"N"</formula>
    </cfRule>
  </conditionalFormatting>
  <pageMargins left="0.70866141732283472" right="0.70866141732283472" top="0.74803149606299213" bottom="0.74803149606299213" header="0.31496062992125984" footer="0.31496062992125984"/>
  <pageSetup paperSize="9" orientation="portrait" r:id="rId2"/>
  <headerFooter>
    <oddHeader>&amp;L&amp;A&amp;R&amp;D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FDA6-CD08-4FDE-AEB3-FCA641C02ECD}">
  <dimension ref="A1:E118"/>
  <sheetViews>
    <sheetView topLeftCell="A22" workbookViewId="0">
      <selection activeCell="B2" sqref="B2"/>
    </sheetView>
  </sheetViews>
  <sheetFormatPr defaultColWidth="11.453125" defaultRowHeight="14.5" x14ac:dyDescent="0.35"/>
  <cols>
    <col min="1" max="1" width="26.81640625" customWidth="1"/>
    <col min="2" max="2" width="50.81640625" style="24" bestFit="1" customWidth="1"/>
    <col min="3" max="3" width="24.453125" style="24" bestFit="1" customWidth="1"/>
    <col min="4" max="4" width="29.1796875" style="11" bestFit="1" customWidth="1"/>
    <col min="5" max="5" width="29.1796875" style="24" bestFit="1" customWidth="1"/>
    <col min="6" max="6" width="23.26953125" bestFit="1" customWidth="1"/>
    <col min="7" max="7" width="26.81640625" bestFit="1" customWidth="1"/>
    <col min="8" max="8" width="19.81640625" bestFit="1" customWidth="1"/>
    <col min="9" max="9" width="16.1796875" bestFit="1" customWidth="1"/>
    <col min="10" max="10" width="29.1796875" bestFit="1" customWidth="1"/>
    <col min="11" max="11" width="6.26953125" bestFit="1" customWidth="1"/>
    <col min="12" max="12" width="29.1796875" bestFit="1" customWidth="1"/>
    <col min="13" max="13" width="7.26953125" bestFit="1" customWidth="1"/>
    <col min="14" max="14" width="26.81640625" bestFit="1" customWidth="1"/>
    <col min="15" max="15" width="9.54296875" bestFit="1" customWidth="1"/>
    <col min="16" max="16" width="8.1796875" bestFit="1" customWidth="1"/>
    <col min="17" max="17" width="11.1796875" bestFit="1" customWidth="1"/>
    <col min="18" max="18" width="12.54296875" bestFit="1" customWidth="1"/>
    <col min="19" max="21" width="3.54296875" bestFit="1" customWidth="1"/>
    <col min="22" max="22" width="2" bestFit="1" customWidth="1"/>
    <col min="23" max="26" width="3.54296875" bestFit="1" customWidth="1"/>
    <col min="27" max="27" width="2" bestFit="1" customWidth="1"/>
    <col min="28" max="29" width="3.54296875" bestFit="1" customWidth="1"/>
    <col min="30" max="30" width="2" bestFit="1" customWidth="1"/>
    <col min="31" max="33" width="3.54296875" bestFit="1" customWidth="1"/>
    <col min="34" max="34" width="2" bestFit="1" customWidth="1"/>
    <col min="35" max="35" width="3.54296875" bestFit="1" customWidth="1"/>
    <col min="36" max="36" width="5.1796875" bestFit="1" customWidth="1"/>
    <col min="37" max="43" width="6.7265625" bestFit="1" customWidth="1"/>
    <col min="44" max="44" width="5.1796875" bestFit="1" customWidth="1"/>
    <col min="45" max="47" width="6.7265625" bestFit="1" customWidth="1"/>
    <col min="48" max="52" width="5.1796875" bestFit="1" customWidth="1"/>
    <col min="53" max="53" width="3.54296875" bestFit="1" customWidth="1"/>
    <col min="54" max="60" width="5.1796875" bestFit="1" customWidth="1"/>
    <col min="61" max="61" width="3.54296875" bestFit="1" customWidth="1"/>
    <col min="62" max="63" width="5.1796875" bestFit="1" customWidth="1"/>
    <col min="64" max="65" width="6.7265625" bestFit="1" customWidth="1"/>
    <col min="66" max="66" width="5.1796875" bestFit="1" customWidth="1"/>
    <col min="67" max="69" width="6.7265625" bestFit="1" customWidth="1"/>
    <col min="70" max="70" width="5.1796875" bestFit="1" customWidth="1"/>
    <col min="71" max="71" width="3.54296875" bestFit="1" customWidth="1"/>
    <col min="72" max="72" width="5.1796875" bestFit="1" customWidth="1"/>
    <col min="73" max="73" width="6.1796875" bestFit="1" customWidth="1"/>
    <col min="74" max="81" width="5.1796875" bestFit="1" customWidth="1"/>
    <col min="82" max="83" width="3.54296875" bestFit="1" customWidth="1"/>
    <col min="84" max="84" width="2" bestFit="1" customWidth="1"/>
    <col min="85" max="87" width="3.54296875" bestFit="1" customWidth="1"/>
    <col min="88" max="89" width="2" bestFit="1" customWidth="1"/>
    <col min="90" max="93" width="3.54296875" bestFit="1" customWidth="1"/>
    <col min="94" max="94" width="6.26953125" bestFit="1" customWidth="1"/>
    <col min="95" max="95" width="12.54296875" bestFit="1" customWidth="1"/>
  </cols>
  <sheetData>
    <row r="1" spans="1:5" ht="29" x14ac:dyDescent="0.35">
      <c r="A1" s="28" t="s">
        <v>10</v>
      </c>
      <c r="B1" t="s">
        <v>411</v>
      </c>
    </row>
    <row r="2" spans="1:5" ht="30" customHeight="1" x14ac:dyDescent="0.35">
      <c r="A2" s="26" t="s">
        <v>4</v>
      </c>
      <c r="B2" s="5" t="s">
        <v>411</v>
      </c>
    </row>
    <row r="3" spans="1:5" x14ac:dyDescent="0.35">
      <c r="B3"/>
      <c r="C3"/>
      <c r="D3"/>
      <c r="E3"/>
    </row>
    <row r="4" spans="1:5" x14ac:dyDescent="0.35">
      <c r="A4" s="26" t="s">
        <v>0</v>
      </c>
      <c r="B4" s="25" t="s">
        <v>1</v>
      </c>
      <c r="C4" s="23" t="s">
        <v>2</v>
      </c>
      <c r="D4" s="26" t="s">
        <v>11</v>
      </c>
      <c r="E4"/>
    </row>
    <row r="5" spans="1:5" x14ac:dyDescent="0.35">
      <c r="A5" t="s">
        <v>19</v>
      </c>
      <c r="B5" t="s">
        <v>20</v>
      </c>
      <c r="C5" t="s">
        <v>410</v>
      </c>
      <c r="D5" t="s">
        <v>410</v>
      </c>
      <c r="E5"/>
    </row>
    <row r="6" spans="1:5" x14ac:dyDescent="0.35">
      <c r="A6" t="s">
        <v>27</v>
      </c>
      <c r="B6" t="s">
        <v>28</v>
      </c>
      <c r="C6" t="s">
        <v>410</v>
      </c>
      <c r="D6" t="s">
        <v>410</v>
      </c>
      <c r="E6"/>
    </row>
    <row r="7" spans="1:5" x14ac:dyDescent="0.35">
      <c r="A7" t="s">
        <v>29</v>
      </c>
      <c r="B7" t="s">
        <v>30</v>
      </c>
      <c r="C7" t="s">
        <v>31</v>
      </c>
      <c r="D7" t="s">
        <v>36</v>
      </c>
      <c r="E7"/>
    </row>
    <row r="8" spans="1:5" x14ac:dyDescent="0.35">
      <c r="A8" t="s">
        <v>39</v>
      </c>
      <c r="B8" t="s">
        <v>40</v>
      </c>
      <c r="C8" t="s">
        <v>410</v>
      </c>
      <c r="D8" t="s">
        <v>410</v>
      </c>
      <c r="E8"/>
    </row>
    <row r="9" spans="1:5" x14ac:dyDescent="0.35">
      <c r="A9" t="s">
        <v>41</v>
      </c>
      <c r="B9" t="s">
        <v>42</v>
      </c>
      <c r="C9" t="s">
        <v>410</v>
      </c>
      <c r="D9" t="s">
        <v>410</v>
      </c>
      <c r="E9"/>
    </row>
    <row r="10" spans="1:5" x14ac:dyDescent="0.35">
      <c r="A10" t="s">
        <v>43</v>
      </c>
      <c r="B10" t="s">
        <v>44</v>
      </c>
      <c r="C10" t="s">
        <v>45</v>
      </c>
      <c r="D10" t="s">
        <v>36</v>
      </c>
      <c r="E10"/>
    </row>
    <row r="11" spans="1:5" x14ac:dyDescent="0.35">
      <c r="A11" t="s">
        <v>51</v>
      </c>
      <c r="B11" t="s">
        <v>52</v>
      </c>
      <c r="C11" t="s">
        <v>53</v>
      </c>
      <c r="D11" t="s">
        <v>410</v>
      </c>
      <c r="E11"/>
    </row>
    <row r="12" spans="1:5" x14ac:dyDescent="0.35">
      <c r="A12" t="s">
        <v>60</v>
      </c>
      <c r="B12" t="s">
        <v>61</v>
      </c>
      <c r="C12" t="s">
        <v>62</v>
      </c>
      <c r="D12" t="s">
        <v>410</v>
      </c>
      <c r="E12"/>
    </row>
    <row r="13" spans="1:5" x14ac:dyDescent="0.35">
      <c r="A13" t="s">
        <v>70</v>
      </c>
      <c r="B13" t="s">
        <v>71</v>
      </c>
      <c r="C13" t="s">
        <v>410</v>
      </c>
      <c r="D13" t="s">
        <v>410</v>
      </c>
      <c r="E13"/>
    </row>
    <row r="14" spans="1:5" x14ac:dyDescent="0.35">
      <c r="A14" t="s">
        <v>72</v>
      </c>
      <c r="B14" t="s">
        <v>73</v>
      </c>
      <c r="C14" t="s">
        <v>74</v>
      </c>
      <c r="D14" t="s">
        <v>78</v>
      </c>
      <c r="E14"/>
    </row>
    <row r="15" spans="1:5" x14ac:dyDescent="0.35">
      <c r="A15" t="s">
        <v>84</v>
      </c>
      <c r="B15" t="s">
        <v>85</v>
      </c>
      <c r="C15" t="s">
        <v>86</v>
      </c>
      <c r="D15" t="s">
        <v>36</v>
      </c>
      <c r="E15"/>
    </row>
    <row r="16" spans="1:5" x14ac:dyDescent="0.35">
      <c r="A16" t="s">
        <v>89</v>
      </c>
      <c r="B16" t="s">
        <v>90</v>
      </c>
      <c r="C16" t="s">
        <v>410</v>
      </c>
      <c r="D16" t="s">
        <v>410</v>
      </c>
      <c r="E16"/>
    </row>
    <row r="17" spans="1:5" x14ac:dyDescent="0.35">
      <c r="A17" t="s">
        <v>91</v>
      </c>
      <c r="B17" t="s">
        <v>92</v>
      </c>
      <c r="C17" t="s">
        <v>410</v>
      </c>
      <c r="D17" t="s">
        <v>410</v>
      </c>
      <c r="E17"/>
    </row>
    <row r="18" spans="1:5" x14ac:dyDescent="0.35">
      <c r="A18" t="s">
        <v>93</v>
      </c>
      <c r="B18" t="s">
        <v>94</v>
      </c>
      <c r="C18" t="s">
        <v>410</v>
      </c>
      <c r="D18" t="s">
        <v>410</v>
      </c>
      <c r="E18"/>
    </row>
    <row r="19" spans="1:5" x14ac:dyDescent="0.35">
      <c r="A19" t="s">
        <v>95</v>
      </c>
      <c r="B19" t="s">
        <v>96</v>
      </c>
      <c r="C19" t="s">
        <v>410</v>
      </c>
      <c r="D19" t="s">
        <v>410</v>
      </c>
      <c r="E19"/>
    </row>
    <row r="20" spans="1:5" x14ac:dyDescent="0.35">
      <c r="A20" t="s">
        <v>97</v>
      </c>
      <c r="B20" t="s">
        <v>98</v>
      </c>
      <c r="C20" t="s">
        <v>410</v>
      </c>
      <c r="D20" t="s">
        <v>410</v>
      </c>
      <c r="E20"/>
    </row>
    <row r="21" spans="1:5" x14ac:dyDescent="0.35">
      <c r="A21" t="s">
        <v>99</v>
      </c>
      <c r="B21" t="s">
        <v>100</v>
      </c>
      <c r="C21" t="s">
        <v>101</v>
      </c>
      <c r="D21" t="s">
        <v>104</v>
      </c>
      <c r="E21"/>
    </row>
    <row r="22" spans="1:5" x14ac:dyDescent="0.35">
      <c r="A22" t="s">
        <v>108</v>
      </c>
      <c r="B22" t="s">
        <v>109</v>
      </c>
      <c r="C22" t="s">
        <v>110</v>
      </c>
      <c r="D22" t="s">
        <v>104</v>
      </c>
      <c r="E22"/>
    </row>
    <row r="23" spans="1:5" x14ac:dyDescent="0.35">
      <c r="A23" t="s">
        <v>118</v>
      </c>
      <c r="B23" t="s">
        <v>119</v>
      </c>
      <c r="C23" t="s">
        <v>120</v>
      </c>
      <c r="D23" t="s">
        <v>104</v>
      </c>
      <c r="E23"/>
    </row>
    <row r="24" spans="1:5" x14ac:dyDescent="0.35">
      <c r="A24" t="s">
        <v>123</v>
      </c>
      <c r="B24" t="s">
        <v>124</v>
      </c>
      <c r="C24" t="s">
        <v>410</v>
      </c>
      <c r="D24" t="s">
        <v>410</v>
      </c>
      <c r="E24"/>
    </row>
    <row r="25" spans="1:5" x14ac:dyDescent="0.35">
      <c r="A25" t="s">
        <v>125</v>
      </c>
      <c r="B25" t="s">
        <v>126</v>
      </c>
      <c r="C25" t="s">
        <v>410</v>
      </c>
      <c r="D25" t="s">
        <v>410</v>
      </c>
      <c r="E25"/>
    </row>
    <row r="26" spans="1:5" x14ac:dyDescent="0.35">
      <c r="A26" t="s">
        <v>127</v>
      </c>
      <c r="B26" t="s">
        <v>128</v>
      </c>
      <c r="C26" t="s">
        <v>129</v>
      </c>
      <c r="D26" t="s">
        <v>78</v>
      </c>
      <c r="E26"/>
    </row>
    <row r="27" spans="1:5" x14ac:dyDescent="0.35">
      <c r="A27" t="s">
        <v>133</v>
      </c>
      <c r="B27" t="s">
        <v>134</v>
      </c>
      <c r="C27" t="s">
        <v>135</v>
      </c>
      <c r="D27" t="s">
        <v>139</v>
      </c>
      <c r="E27"/>
    </row>
    <row r="28" spans="1:5" x14ac:dyDescent="0.35">
      <c r="A28" t="s">
        <v>140</v>
      </c>
      <c r="B28" t="s">
        <v>141</v>
      </c>
      <c r="C28" t="s">
        <v>142</v>
      </c>
      <c r="D28" t="s">
        <v>410</v>
      </c>
      <c r="E28"/>
    </row>
    <row r="29" spans="1:5" x14ac:dyDescent="0.35">
      <c r="A29" t="s">
        <v>153</v>
      </c>
      <c r="B29" t="s">
        <v>154</v>
      </c>
      <c r="C29" t="s">
        <v>410</v>
      </c>
      <c r="D29" t="s">
        <v>410</v>
      </c>
      <c r="E29"/>
    </row>
    <row r="30" spans="1:5" x14ac:dyDescent="0.35">
      <c r="A30" t="s">
        <v>155</v>
      </c>
      <c r="B30" t="s">
        <v>156</v>
      </c>
      <c r="C30" t="s">
        <v>410</v>
      </c>
      <c r="D30" t="s">
        <v>410</v>
      </c>
      <c r="E30"/>
    </row>
    <row r="31" spans="1:5" x14ac:dyDescent="0.35">
      <c r="A31" t="s">
        <v>157</v>
      </c>
      <c r="B31" t="s">
        <v>158</v>
      </c>
      <c r="C31" t="s">
        <v>159</v>
      </c>
      <c r="D31" t="s">
        <v>410</v>
      </c>
      <c r="E31"/>
    </row>
    <row r="32" spans="1:5" x14ac:dyDescent="0.35">
      <c r="A32" t="s">
        <v>162</v>
      </c>
      <c r="B32" t="s">
        <v>163</v>
      </c>
      <c r="C32" t="s">
        <v>164</v>
      </c>
      <c r="D32" t="s">
        <v>410</v>
      </c>
      <c r="E32"/>
    </row>
    <row r="33" spans="1:5" x14ac:dyDescent="0.35">
      <c r="A33" t="s">
        <v>171</v>
      </c>
      <c r="B33" t="s">
        <v>172</v>
      </c>
      <c r="C33" t="s">
        <v>173</v>
      </c>
      <c r="D33" t="s">
        <v>177</v>
      </c>
      <c r="E33"/>
    </row>
    <row r="34" spans="1:5" x14ac:dyDescent="0.35">
      <c r="A34" t="s">
        <v>183</v>
      </c>
      <c r="B34" t="s">
        <v>184</v>
      </c>
      <c r="C34" t="s">
        <v>410</v>
      </c>
      <c r="D34" t="s">
        <v>410</v>
      </c>
      <c r="E34"/>
    </row>
    <row r="35" spans="1:5" x14ac:dyDescent="0.35">
      <c r="A35" t="s">
        <v>185</v>
      </c>
      <c r="B35" t="s">
        <v>186</v>
      </c>
      <c r="C35" t="s">
        <v>410</v>
      </c>
      <c r="D35" t="s">
        <v>410</v>
      </c>
      <c r="E35"/>
    </row>
    <row r="36" spans="1:5" x14ac:dyDescent="0.35">
      <c r="A36" t="s">
        <v>187</v>
      </c>
      <c r="B36" t="s">
        <v>188</v>
      </c>
      <c r="C36" t="s">
        <v>410</v>
      </c>
      <c r="D36" t="s">
        <v>410</v>
      </c>
      <c r="E36"/>
    </row>
    <row r="37" spans="1:5" x14ac:dyDescent="0.35">
      <c r="A37" t="s">
        <v>189</v>
      </c>
      <c r="B37" t="s">
        <v>190</v>
      </c>
      <c r="C37" t="s">
        <v>410</v>
      </c>
      <c r="D37" t="s">
        <v>410</v>
      </c>
      <c r="E37"/>
    </row>
    <row r="38" spans="1:5" x14ac:dyDescent="0.35">
      <c r="A38" t="s">
        <v>191</v>
      </c>
      <c r="B38" t="s">
        <v>192</v>
      </c>
      <c r="C38" t="s">
        <v>410</v>
      </c>
      <c r="D38" t="s">
        <v>410</v>
      </c>
      <c r="E38"/>
    </row>
    <row r="39" spans="1:5" x14ac:dyDescent="0.35">
      <c r="A39" t="s">
        <v>193</v>
      </c>
      <c r="B39" t="s">
        <v>194</v>
      </c>
      <c r="C39" t="s">
        <v>195</v>
      </c>
      <c r="D39" t="s">
        <v>410</v>
      </c>
      <c r="E39"/>
    </row>
    <row r="40" spans="1:5" x14ac:dyDescent="0.35">
      <c r="A40" t="s">
        <v>212</v>
      </c>
      <c r="B40" t="s">
        <v>213</v>
      </c>
      <c r="C40" t="s">
        <v>410</v>
      </c>
      <c r="D40" t="s">
        <v>410</v>
      </c>
      <c r="E40"/>
    </row>
    <row r="41" spans="1:5" x14ac:dyDescent="0.35">
      <c r="A41" t="s">
        <v>214</v>
      </c>
      <c r="B41" t="s">
        <v>215</v>
      </c>
      <c r="C41" t="s">
        <v>410</v>
      </c>
      <c r="D41" t="s">
        <v>410</v>
      </c>
      <c r="E41"/>
    </row>
    <row r="42" spans="1:5" x14ac:dyDescent="0.35">
      <c r="A42" t="s">
        <v>216</v>
      </c>
      <c r="B42" t="s">
        <v>217</v>
      </c>
      <c r="C42" t="s">
        <v>410</v>
      </c>
      <c r="D42" t="s">
        <v>410</v>
      </c>
      <c r="E42"/>
    </row>
    <row r="43" spans="1:5" x14ac:dyDescent="0.35">
      <c r="A43" t="s">
        <v>218</v>
      </c>
      <c r="B43" t="s">
        <v>219</v>
      </c>
      <c r="C43" t="s">
        <v>410</v>
      </c>
      <c r="D43" t="s">
        <v>410</v>
      </c>
      <c r="E43"/>
    </row>
    <row r="44" spans="1:5" x14ac:dyDescent="0.35">
      <c r="A44" t="s">
        <v>220</v>
      </c>
      <c r="B44" t="s">
        <v>221</v>
      </c>
      <c r="C44" t="s">
        <v>410</v>
      </c>
      <c r="D44" t="s">
        <v>410</v>
      </c>
      <c r="E44"/>
    </row>
    <row r="45" spans="1:5" x14ac:dyDescent="0.35">
      <c r="A45" t="s">
        <v>222</v>
      </c>
      <c r="B45" t="s">
        <v>223</v>
      </c>
      <c r="C45" t="s">
        <v>410</v>
      </c>
      <c r="D45" t="s">
        <v>410</v>
      </c>
      <c r="E45"/>
    </row>
    <row r="46" spans="1:5" x14ac:dyDescent="0.35">
      <c r="A46" t="s">
        <v>224</v>
      </c>
      <c r="B46" t="s">
        <v>225</v>
      </c>
      <c r="C46" t="s">
        <v>410</v>
      </c>
      <c r="D46" t="s">
        <v>410</v>
      </c>
      <c r="E46"/>
    </row>
    <row r="47" spans="1:5" x14ac:dyDescent="0.35">
      <c r="A47" t="s">
        <v>226</v>
      </c>
      <c r="B47" t="s">
        <v>227</v>
      </c>
      <c r="C47" t="s">
        <v>410</v>
      </c>
      <c r="D47" t="s">
        <v>410</v>
      </c>
      <c r="E47"/>
    </row>
    <row r="48" spans="1:5" x14ac:dyDescent="0.35">
      <c r="A48" t="s">
        <v>228</v>
      </c>
      <c r="B48" t="s">
        <v>229</v>
      </c>
      <c r="C48" t="s">
        <v>230</v>
      </c>
      <c r="D48" t="s">
        <v>410</v>
      </c>
      <c r="E48"/>
    </row>
    <row r="49" spans="1:5" x14ac:dyDescent="0.35">
      <c r="A49" t="s">
        <v>238</v>
      </c>
      <c r="B49" t="s">
        <v>225</v>
      </c>
      <c r="C49" t="s">
        <v>230</v>
      </c>
      <c r="D49" t="s">
        <v>410</v>
      </c>
      <c r="E49"/>
    </row>
    <row r="50" spans="1:5" x14ac:dyDescent="0.35">
      <c r="A50" t="s">
        <v>241</v>
      </c>
      <c r="B50" t="s">
        <v>242</v>
      </c>
      <c r="C50" t="s">
        <v>230</v>
      </c>
      <c r="D50" t="s">
        <v>410</v>
      </c>
      <c r="E50"/>
    </row>
    <row r="51" spans="1:5" x14ac:dyDescent="0.35">
      <c r="A51" t="s">
        <v>250</v>
      </c>
      <c r="B51" t="s">
        <v>251</v>
      </c>
      <c r="C51" t="s">
        <v>410</v>
      </c>
      <c r="D51" t="s">
        <v>410</v>
      </c>
      <c r="E51"/>
    </row>
    <row r="52" spans="1:5" x14ac:dyDescent="0.35">
      <c r="A52" t="s">
        <v>252</v>
      </c>
      <c r="B52" t="s">
        <v>253</v>
      </c>
      <c r="C52" t="s">
        <v>410</v>
      </c>
      <c r="D52" t="s">
        <v>410</v>
      </c>
      <c r="E52"/>
    </row>
    <row r="53" spans="1:5" x14ac:dyDescent="0.35">
      <c r="A53" t="s">
        <v>254</v>
      </c>
      <c r="B53" t="s">
        <v>255</v>
      </c>
      <c r="C53" t="s">
        <v>410</v>
      </c>
      <c r="D53" t="s">
        <v>410</v>
      </c>
      <c r="E53"/>
    </row>
    <row r="54" spans="1:5" x14ac:dyDescent="0.35">
      <c r="A54" t="s">
        <v>256</v>
      </c>
      <c r="B54" t="s">
        <v>257</v>
      </c>
      <c r="C54" t="s">
        <v>410</v>
      </c>
      <c r="D54" t="s">
        <v>410</v>
      </c>
      <c r="E54"/>
    </row>
    <row r="55" spans="1:5" x14ac:dyDescent="0.35">
      <c r="A55" t="s">
        <v>258</v>
      </c>
      <c r="B55" t="s">
        <v>259</v>
      </c>
      <c r="C55" t="s">
        <v>410</v>
      </c>
      <c r="D55" t="s">
        <v>410</v>
      </c>
      <c r="E55"/>
    </row>
    <row r="56" spans="1:5" x14ac:dyDescent="0.35">
      <c r="A56" t="s">
        <v>260</v>
      </c>
      <c r="B56" t="s">
        <v>261</v>
      </c>
      <c r="C56" t="s">
        <v>410</v>
      </c>
      <c r="D56" t="s">
        <v>410</v>
      </c>
      <c r="E56"/>
    </row>
    <row r="57" spans="1:5" x14ac:dyDescent="0.35">
      <c r="A57" t="s">
        <v>262</v>
      </c>
      <c r="B57" t="s">
        <v>184</v>
      </c>
      <c r="C57" t="s">
        <v>263</v>
      </c>
      <c r="D57" t="s">
        <v>410</v>
      </c>
      <c r="E57"/>
    </row>
    <row r="58" spans="1:5" x14ac:dyDescent="0.35">
      <c r="A58" t="s">
        <v>269</v>
      </c>
      <c r="B58" t="s">
        <v>270</v>
      </c>
      <c r="C58" t="s">
        <v>271</v>
      </c>
      <c r="D58" t="s">
        <v>410</v>
      </c>
      <c r="E58"/>
    </row>
    <row r="59" spans="1:5" x14ac:dyDescent="0.35">
      <c r="A59" t="s">
        <v>275</v>
      </c>
      <c r="B59" t="s">
        <v>276</v>
      </c>
      <c r="C59" t="s">
        <v>277</v>
      </c>
      <c r="D59" t="s">
        <v>410</v>
      </c>
      <c r="E59"/>
    </row>
    <row r="60" spans="1:5" x14ac:dyDescent="0.35">
      <c r="A60" t="s">
        <v>281</v>
      </c>
      <c r="B60" t="s">
        <v>282</v>
      </c>
      <c r="C60" t="s">
        <v>283</v>
      </c>
      <c r="D60" t="s">
        <v>410</v>
      </c>
      <c r="E60"/>
    </row>
    <row r="61" spans="1:5" x14ac:dyDescent="0.35">
      <c r="A61" t="s">
        <v>286</v>
      </c>
      <c r="B61" t="s">
        <v>287</v>
      </c>
      <c r="C61" t="s">
        <v>288</v>
      </c>
      <c r="D61" t="s">
        <v>410</v>
      </c>
      <c r="E61"/>
    </row>
    <row r="62" spans="1:5" x14ac:dyDescent="0.35">
      <c r="A62" t="s">
        <v>291</v>
      </c>
      <c r="B62" t="s">
        <v>292</v>
      </c>
      <c r="C62" t="s">
        <v>410</v>
      </c>
      <c r="D62" t="s">
        <v>410</v>
      </c>
      <c r="E62"/>
    </row>
    <row r="63" spans="1:5" x14ac:dyDescent="0.35">
      <c r="A63" t="s">
        <v>293</v>
      </c>
      <c r="B63" t="s">
        <v>294</v>
      </c>
      <c r="C63" t="s">
        <v>410</v>
      </c>
      <c r="D63" t="s">
        <v>410</v>
      </c>
    </row>
    <row r="64" spans="1:5" x14ac:dyDescent="0.35">
      <c r="A64" t="s">
        <v>295</v>
      </c>
      <c r="B64" t="s">
        <v>296</v>
      </c>
      <c r="C64" t="s">
        <v>297</v>
      </c>
      <c r="D64" t="s">
        <v>410</v>
      </c>
    </row>
    <row r="65" spans="1:4" x14ac:dyDescent="0.35">
      <c r="A65" t="s">
        <v>301</v>
      </c>
      <c r="B65" t="s">
        <v>302</v>
      </c>
      <c r="C65" t="s">
        <v>206</v>
      </c>
      <c r="D65" t="s">
        <v>78</v>
      </c>
    </row>
    <row r="66" spans="1:4" x14ac:dyDescent="0.35">
      <c r="A66" t="s">
        <v>305</v>
      </c>
      <c r="B66" t="s">
        <v>306</v>
      </c>
      <c r="C66" t="s">
        <v>307</v>
      </c>
      <c r="D66" t="s">
        <v>410</v>
      </c>
    </row>
    <row r="67" spans="1:4" x14ac:dyDescent="0.35">
      <c r="A67" t="s">
        <v>314</v>
      </c>
      <c r="B67" t="s">
        <v>186</v>
      </c>
      <c r="C67" t="s">
        <v>410</v>
      </c>
      <c r="D67" t="s">
        <v>410</v>
      </c>
    </row>
    <row r="68" spans="1:4" x14ac:dyDescent="0.35">
      <c r="A68" t="s">
        <v>315</v>
      </c>
      <c r="B68" t="s">
        <v>316</v>
      </c>
      <c r="C68" t="s">
        <v>410</v>
      </c>
      <c r="D68" t="s">
        <v>410</v>
      </c>
    </row>
    <row r="69" spans="1:4" x14ac:dyDescent="0.35">
      <c r="A69" t="s">
        <v>317</v>
      </c>
      <c r="B69" t="s">
        <v>318</v>
      </c>
      <c r="C69" t="s">
        <v>319</v>
      </c>
      <c r="D69" t="s">
        <v>323</v>
      </c>
    </row>
    <row r="70" spans="1:4" x14ac:dyDescent="0.35">
      <c r="A70" t="s">
        <v>327</v>
      </c>
      <c r="B70" t="s">
        <v>328</v>
      </c>
      <c r="C70" t="s">
        <v>410</v>
      </c>
      <c r="D70" t="s">
        <v>410</v>
      </c>
    </row>
    <row r="71" spans="1:4" x14ac:dyDescent="0.35">
      <c r="A71" t="s">
        <v>329</v>
      </c>
      <c r="B71" t="s">
        <v>186</v>
      </c>
      <c r="C71" t="s">
        <v>410</v>
      </c>
      <c r="D71" t="s">
        <v>410</v>
      </c>
    </row>
    <row r="72" spans="1:4" x14ac:dyDescent="0.35">
      <c r="A72" t="s">
        <v>330</v>
      </c>
      <c r="B72" t="s">
        <v>316</v>
      </c>
      <c r="C72" t="s">
        <v>410</v>
      </c>
      <c r="D72" t="s">
        <v>410</v>
      </c>
    </row>
    <row r="73" spans="1:4" x14ac:dyDescent="0.35">
      <c r="A73" t="s">
        <v>331</v>
      </c>
      <c r="B73" t="s">
        <v>332</v>
      </c>
      <c r="C73" t="s">
        <v>333</v>
      </c>
      <c r="D73" t="s">
        <v>410</v>
      </c>
    </row>
    <row r="74" spans="1:4" x14ac:dyDescent="0.35">
      <c r="A74" t="s">
        <v>339</v>
      </c>
      <c r="B74" t="s">
        <v>340</v>
      </c>
      <c r="C74" t="s">
        <v>410</v>
      </c>
      <c r="D74" t="s">
        <v>410</v>
      </c>
    </row>
    <row r="75" spans="1:4" x14ac:dyDescent="0.35">
      <c r="A75" t="s">
        <v>341</v>
      </c>
      <c r="B75" t="s">
        <v>342</v>
      </c>
      <c r="C75" t="s">
        <v>410</v>
      </c>
      <c r="D75" t="s">
        <v>410</v>
      </c>
    </row>
    <row r="76" spans="1:4" x14ac:dyDescent="0.35">
      <c r="A76" t="s">
        <v>359</v>
      </c>
      <c r="B76" t="s">
        <v>360</v>
      </c>
      <c r="C76" t="s">
        <v>410</v>
      </c>
      <c r="D76" t="s">
        <v>410</v>
      </c>
    </row>
    <row r="77" spans="1:4" x14ac:dyDescent="0.35">
      <c r="A77" t="s">
        <v>343</v>
      </c>
      <c r="B77" t="s">
        <v>344</v>
      </c>
      <c r="C77" t="s">
        <v>410</v>
      </c>
      <c r="D77" t="s">
        <v>410</v>
      </c>
    </row>
    <row r="78" spans="1:4" x14ac:dyDescent="0.35">
      <c r="A78" t="s">
        <v>345</v>
      </c>
      <c r="B78" t="s">
        <v>346</v>
      </c>
      <c r="C78" t="s">
        <v>410</v>
      </c>
      <c r="D78" t="s">
        <v>410</v>
      </c>
    </row>
    <row r="79" spans="1:4" x14ac:dyDescent="0.35">
      <c r="A79" t="s">
        <v>347</v>
      </c>
      <c r="B79" t="s">
        <v>348</v>
      </c>
      <c r="C79" t="s">
        <v>410</v>
      </c>
      <c r="D79" t="s">
        <v>410</v>
      </c>
    </row>
    <row r="80" spans="1:4" x14ac:dyDescent="0.35">
      <c r="A80" t="s">
        <v>349</v>
      </c>
      <c r="B80" t="s">
        <v>350</v>
      </c>
      <c r="C80" t="s">
        <v>410</v>
      </c>
      <c r="D80" t="s">
        <v>410</v>
      </c>
    </row>
    <row r="81" spans="1:4" x14ac:dyDescent="0.35">
      <c r="A81" t="s">
        <v>351</v>
      </c>
      <c r="B81" t="s">
        <v>352</v>
      </c>
      <c r="C81" t="s">
        <v>410</v>
      </c>
      <c r="D81" t="s">
        <v>410</v>
      </c>
    </row>
    <row r="82" spans="1:4" x14ac:dyDescent="0.35">
      <c r="A82" t="s">
        <v>353</v>
      </c>
      <c r="B82" t="s">
        <v>354</v>
      </c>
      <c r="C82" t="s">
        <v>410</v>
      </c>
      <c r="D82" t="s">
        <v>410</v>
      </c>
    </row>
    <row r="83" spans="1:4" x14ac:dyDescent="0.35">
      <c r="A83" t="s">
        <v>355</v>
      </c>
      <c r="B83" t="s">
        <v>356</v>
      </c>
      <c r="C83" t="s">
        <v>410</v>
      </c>
      <c r="D83" t="s">
        <v>410</v>
      </c>
    </row>
    <row r="84" spans="1:4" x14ac:dyDescent="0.35">
      <c r="A84" t="s">
        <v>357</v>
      </c>
      <c r="B84" t="s">
        <v>358</v>
      </c>
      <c r="C84" t="s">
        <v>410</v>
      </c>
      <c r="D84" t="s">
        <v>410</v>
      </c>
    </row>
    <row r="85" spans="1:4" x14ac:dyDescent="0.35">
      <c r="A85" t="s">
        <v>361</v>
      </c>
      <c r="B85" t="s">
        <v>362</v>
      </c>
      <c r="C85" t="s">
        <v>410</v>
      </c>
      <c r="D85" t="s">
        <v>410</v>
      </c>
    </row>
    <row r="86" spans="1:4" x14ac:dyDescent="0.35">
      <c r="A86" t="s">
        <v>363</v>
      </c>
      <c r="B86" t="s">
        <v>364</v>
      </c>
      <c r="C86" t="s">
        <v>410</v>
      </c>
      <c r="D86" t="s">
        <v>410</v>
      </c>
    </row>
    <row r="87" spans="1:4" x14ac:dyDescent="0.35">
      <c r="A87" t="s">
        <v>365</v>
      </c>
      <c r="B87" t="s">
        <v>366</v>
      </c>
      <c r="C87" t="s">
        <v>410</v>
      </c>
      <c r="D87" t="s">
        <v>410</v>
      </c>
    </row>
    <row r="88" spans="1:4" x14ac:dyDescent="0.35">
      <c r="A88" t="s">
        <v>367</v>
      </c>
      <c r="B88" t="s">
        <v>368</v>
      </c>
      <c r="C88" t="s">
        <v>410</v>
      </c>
      <c r="D88" t="s">
        <v>410</v>
      </c>
    </row>
    <row r="89" spans="1:4" x14ac:dyDescent="0.35">
      <c r="A89" t="s">
        <v>369</v>
      </c>
      <c r="B89" t="s">
        <v>370</v>
      </c>
      <c r="C89" t="s">
        <v>371</v>
      </c>
      <c r="D89" t="s">
        <v>410</v>
      </c>
    </row>
    <row r="90" spans="1:4" x14ac:dyDescent="0.35">
      <c r="A90" t="s">
        <v>374</v>
      </c>
      <c r="B90" t="s">
        <v>375</v>
      </c>
      <c r="C90" t="s">
        <v>376</v>
      </c>
      <c r="D90" t="s">
        <v>410</v>
      </c>
    </row>
    <row r="91" spans="1:4" x14ac:dyDescent="0.35">
      <c r="A91" t="s">
        <v>379</v>
      </c>
      <c r="B91" t="s">
        <v>380</v>
      </c>
      <c r="C91" t="s">
        <v>381</v>
      </c>
      <c r="D91" t="s">
        <v>177</v>
      </c>
    </row>
    <row r="92" spans="1:4" x14ac:dyDescent="0.35">
      <c r="A92" t="s">
        <v>388</v>
      </c>
      <c r="B92" t="s">
        <v>389</v>
      </c>
      <c r="C92" t="s">
        <v>410</v>
      </c>
      <c r="D92" t="s">
        <v>410</v>
      </c>
    </row>
    <row r="93" spans="1:4" x14ac:dyDescent="0.35">
      <c r="A93" t="s">
        <v>390</v>
      </c>
      <c r="B93" t="s">
        <v>391</v>
      </c>
      <c r="C93" t="s">
        <v>392</v>
      </c>
      <c r="D93" t="s">
        <v>410</v>
      </c>
    </row>
    <row r="94" spans="1:4" x14ac:dyDescent="0.35">
      <c r="A94" t="s">
        <v>396</v>
      </c>
      <c r="B94" t="s">
        <v>397</v>
      </c>
      <c r="C94" t="s">
        <v>410</v>
      </c>
      <c r="D94" t="s">
        <v>410</v>
      </c>
    </row>
    <row r="95" spans="1:4" x14ac:dyDescent="0.35">
      <c r="A95" t="s">
        <v>399</v>
      </c>
      <c r="B95" t="s">
        <v>400</v>
      </c>
      <c r="C95" t="s">
        <v>401</v>
      </c>
      <c r="D95" t="s">
        <v>410</v>
      </c>
    </row>
    <row r="96" spans="1:4" x14ac:dyDescent="0.35">
      <c r="A96" t="s">
        <v>402</v>
      </c>
      <c r="B96" t="s">
        <v>403</v>
      </c>
      <c r="C96" t="s">
        <v>404</v>
      </c>
      <c r="D96" t="s">
        <v>410</v>
      </c>
    </row>
    <row r="97" spans="1:4" x14ac:dyDescent="0.35">
      <c r="A97" t="s">
        <v>410</v>
      </c>
      <c r="B97" t="s">
        <v>410</v>
      </c>
      <c r="C97" t="s">
        <v>371</v>
      </c>
      <c r="D97" t="s">
        <v>410</v>
      </c>
    </row>
    <row r="98" spans="1:4" x14ac:dyDescent="0.35">
      <c r="B98"/>
      <c r="C98" t="s">
        <v>64</v>
      </c>
      <c r="D98" t="s">
        <v>410</v>
      </c>
    </row>
    <row r="99" spans="1:4" x14ac:dyDescent="0.35">
      <c r="B99"/>
      <c r="C99" t="s">
        <v>66</v>
      </c>
      <c r="D99" t="s">
        <v>410</v>
      </c>
    </row>
    <row r="100" spans="1:4" x14ac:dyDescent="0.35">
      <c r="B100"/>
      <c r="C100" t="s">
        <v>68</v>
      </c>
      <c r="D100" t="s">
        <v>410</v>
      </c>
    </row>
    <row r="101" spans="1:4" x14ac:dyDescent="0.35">
      <c r="B101"/>
      <c r="C101" t="s">
        <v>81</v>
      </c>
      <c r="D101" t="s">
        <v>36</v>
      </c>
    </row>
    <row r="102" spans="1:4" x14ac:dyDescent="0.35">
      <c r="B102"/>
      <c r="C102" t="s">
        <v>47</v>
      </c>
      <c r="D102" t="s">
        <v>36</v>
      </c>
    </row>
    <row r="103" spans="1:4" x14ac:dyDescent="0.35">
      <c r="B103"/>
      <c r="C103" t="s">
        <v>49</v>
      </c>
      <c r="D103" t="s">
        <v>36</v>
      </c>
    </row>
    <row r="104" spans="1:4" x14ac:dyDescent="0.35">
      <c r="B104"/>
      <c r="C104" t="s">
        <v>407</v>
      </c>
      <c r="D104" t="s">
        <v>410</v>
      </c>
    </row>
    <row r="105" spans="1:4" x14ac:dyDescent="0.35">
      <c r="B105"/>
      <c r="C105" t="s">
        <v>112</v>
      </c>
      <c r="D105" t="s">
        <v>104</v>
      </c>
    </row>
    <row r="106" spans="1:4" x14ac:dyDescent="0.35">
      <c r="B106"/>
      <c r="C106" t="s">
        <v>116</v>
      </c>
      <c r="D106" t="s">
        <v>104</v>
      </c>
    </row>
    <row r="107" spans="1:4" x14ac:dyDescent="0.35">
      <c r="B107"/>
      <c r="C107" t="s">
        <v>114</v>
      </c>
      <c r="D107" t="s">
        <v>104</v>
      </c>
    </row>
    <row r="108" spans="1:4" x14ac:dyDescent="0.35">
      <c r="B108"/>
      <c r="C108" t="s">
        <v>209</v>
      </c>
      <c r="D108" t="s">
        <v>36</v>
      </c>
    </row>
    <row r="109" spans="1:4" x14ac:dyDescent="0.35">
      <c r="B109"/>
      <c r="C109" t="s">
        <v>146</v>
      </c>
      <c r="D109" t="s">
        <v>410</v>
      </c>
    </row>
    <row r="110" spans="1:4" x14ac:dyDescent="0.35">
      <c r="B110"/>
      <c r="C110" t="s">
        <v>168</v>
      </c>
      <c r="D110" t="s">
        <v>410</v>
      </c>
    </row>
    <row r="111" spans="1:4" x14ac:dyDescent="0.35">
      <c r="B111"/>
      <c r="C111" t="s">
        <v>180</v>
      </c>
      <c r="D111" t="s">
        <v>177</v>
      </c>
    </row>
    <row r="112" spans="1:4" x14ac:dyDescent="0.35">
      <c r="B112"/>
      <c r="C112" t="s">
        <v>56</v>
      </c>
      <c r="D112" t="s">
        <v>36</v>
      </c>
    </row>
    <row r="113" spans="2:4" x14ac:dyDescent="0.35">
      <c r="B113"/>
      <c r="C113" t="s">
        <v>58</v>
      </c>
      <c r="D113" t="s">
        <v>410</v>
      </c>
    </row>
    <row r="114" spans="2:4" x14ac:dyDescent="0.35">
      <c r="B114"/>
      <c r="C114" t="s">
        <v>206</v>
      </c>
      <c r="D114" t="s">
        <v>410</v>
      </c>
    </row>
    <row r="115" spans="2:4" x14ac:dyDescent="0.35">
      <c r="B115"/>
      <c r="C115" t="s">
        <v>385</v>
      </c>
      <c r="D115" t="s">
        <v>177</v>
      </c>
    </row>
    <row r="116" spans="2:4" x14ac:dyDescent="0.35">
      <c r="B116"/>
      <c r="C116" t="s">
        <v>230</v>
      </c>
      <c r="D116" t="s">
        <v>410</v>
      </c>
    </row>
    <row r="117" spans="2:4" x14ac:dyDescent="0.35">
      <c r="B117"/>
      <c r="C117" t="s">
        <v>336</v>
      </c>
      <c r="D117" t="s">
        <v>410</v>
      </c>
    </row>
    <row r="118" spans="2:4" x14ac:dyDescent="0.35">
      <c r="B118"/>
      <c r="C118" t="s">
        <v>410</v>
      </c>
      <c r="D118" t="s">
        <v>410</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1B13-F006-49DA-88AB-FB07912F0B79}">
  <dimension ref="A1:B71"/>
  <sheetViews>
    <sheetView topLeftCell="A31" workbookViewId="0">
      <selection activeCell="A8" sqref="A8"/>
    </sheetView>
  </sheetViews>
  <sheetFormatPr defaultColWidth="11.453125" defaultRowHeight="14.5" x14ac:dyDescent="0.35"/>
  <cols>
    <col min="1" max="1" width="55.90625" customWidth="1"/>
  </cols>
  <sheetData>
    <row r="1" spans="1:2" s="5" customFormat="1" x14ac:dyDescent="0.35">
      <c r="A1" s="6" t="s">
        <v>412</v>
      </c>
      <c r="B1" s="6" t="s">
        <v>413</v>
      </c>
    </row>
    <row r="2" spans="1:2" x14ac:dyDescent="0.35">
      <c r="A2" s="2" t="s">
        <v>65</v>
      </c>
      <c r="B2" s="1"/>
    </row>
    <row r="3" spans="1:2" x14ac:dyDescent="0.35">
      <c r="A3" s="2" t="s">
        <v>414</v>
      </c>
      <c r="B3" s="1"/>
    </row>
    <row r="4" spans="1:2" x14ac:dyDescent="0.35">
      <c r="A4" s="2" t="s">
        <v>203</v>
      </c>
      <c r="B4" s="1"/>
    </row>
    <row r="5" spans="1:2" x14ac:dyDescent="0.35">
      <c r="A5" s="2" t="s">
        <v>201</v>
      </c>
      <c r="B5" s="1"/>
    </row>
    <row r="6" spans="1:2" x14ac:dyDescent="0.35">
      <c r="A6" s="2" t="s">
        <v>205</v>
      </c>
      <c r="B6" s="1"/>
    </row>
    <row r="7" spans="1:2" x14ac:dyDescent="0.35">
      <c r="A7" s="2" t="s">
        <v>415</v>
      </c>
      <c r="B7" s="1"/>
    </row>
    <row r="8" spans="1:2" x14ac:dyDescent="0.35">
      <c r="A8" s="2" t="s">
        <v>416</v>
      </c>
      <c r="B8" s="1"/>
    </row>
    <row r="9" spans="1:2" x14ac:dyDescent="0.35">
      <c r="A9" s="2" t="s">
        <v>417</v>
      </c>
      <c r="B9" s="1"/>
    </row>
    <row r="10" spans="1:2" x14ac:dyDescent="0.35">
      <c r="A10" s="2" t="s">
        <v>181</v>
      </c>
      <c r="B10" s="1"/>
    </row>
    <row r="11" spans="1:2" x14ac:dyDescent="0.35">
      <c r="A11" s="2" t="s">
        <v>248</v>
      </c>
      <c r="B11" s="7"/>
    </row>
    <row r="12" spans="1:2" x14ac:dyDescent="0.35">
      <c r="A12" s="2" t="s">
        <v>236</v>
      </c>
      <c r="B12" s="7"/>
    </row>
    <row r="13" spans="1:2" x14ac:dyDescent="0.35">
      <c r="A13" s="2" t="s">
        <v>231</v>
      </c>
      <c r="B13" s="7"/>
    </row>
    <row r="14" spans="1:2" x14ac:dyDescent="0.35">
      <c r="A14" s="2" t="s">
        <v>143</v>
      </c>
      <c r="B14" s="1"/>
    </row>
    <row r="15" spans="1:2" x14ac:dyDescent="0.35">
      <c r="A15" s="2" t="s">
        <v>121</v>
      </c>
      <c r="B15" s="1"/>
    </row>
    <row r="16" spans="1:2" x14ac:dyDescent="0.35">
      <c r="A16" s="2" t="s">
        <v>264</v>
      </c>
      <c r="B16" s="1"/>
    </row>
    <row r="17" spans="1:2" x14ac:dyDescent="0.35">
      <c r="A17" s="2" t="s">
        <v>272</v>
      </c>
      <c r="B17" s="1"/>
    </row>
    <row r="18" spans="1:2" x14ac:dyDescent="0.35">
      <c r="A18" s="8" t="s">
        <v>405</v>
      </c>
      <c r="B18" s="7"/>
    </row>
    <row r="19" spans="1:2" x14ac:dyDescent="0.35">
      <c r="A19" s="7" t="s">
        <v>408</v>
      </c>
      <c r="B19" s="7"/>
    </row>
    <row r="20" spans="1:2" x14ac:dyDescent="0.35">
      <c r="A20" s="2" t="s">
        <v>244</v>
      </c>
      <c r="B20" s="1"/>
    </row>
    <row r="21" spans="1:2" x14ac:dyDescent="0.35">
      <c r="A21" s="2" t="s">
        <v>337</v>
      </c>
      <c r="B21" s="1"/>
    </row>
    <row r="22" spans="1:2" x14ac:dyDescent="0.35">
      <c r="A22" s="2" t="s">
        <v>59</v>
      </c>
      <c r="B22" s="1"/>
    </row>
    <row r="23" spans="1:2" x14ac:dyDescent="0.35">
      <c r="A23" s="2" t="s">
        <v>57</v>
      </c>
      <c r="B23" s="1"/>
    </row>
    <row r="24" spans="1:2" x14ac:dyDescent="0.35">
      <c r="A24" s="4" t="s">
        <v>50</v>
      </c>
      <c r="B24" s="1"/>
    </row>
    <row r="25" spans="1:2" x14ac:dyDescent="0.35">
      <c r="A25" s="2" t="s">
        <v>418</v>
      </c>
      <c r="B25" s="1"/>
    </row>
    <row r="26" spans="1:2" x14ac:dyDescent="0.35">
      <c r="A26" s="4" t="s">
        <v>46</v>
      </c>
      <c r="B26" s="1"/>
    </row>
    <row r="27" spans="1:2" x14ac:dyDescent="0.35">
      <c r="A27" s="2" t="s">
        <v>196</v>
      </c>
      <c r="B27" s="1"/>
    </row>
    <row r="28" spans="1:2" x14ac:dyDescent="0.35">
      <c r="A28" s="2" t="s">
        <v>298</v>
      </c>
      <c r="B28" s="1"/>
    </row>
    <row r="29" spans="1:2" x14ac:dyDescent="0.35">
      <c r="A29" s="2" t="s">
        <v>372</v>
      </c>
      <c r="B29" s="1"/>
    </row>
    <row r="30" spans="1:2" x14ac:dyDescent="0.35">
      <c r="A30" s="2" t="s">
        <v>207</v>
      </c>
      <c r="B30" s="1"/>
    </row>
    <row r="31" spans="1:2" x14ac:dyDescent="0.35">
      <c r="A31" s="2" t="s">
        <v>150</v>
      </c>
      <c r="B31" s="1"/>
    </row>
    <row r="32" spans="1:2" x14ac:dyDescent="0.35">
      <c r="A32" s="2" t="s">
        <v>147</v>
      </c>
      <c r="B32" s="1"/>
    </row>
    <row r="33" spans="1:2" x14ac:dyDescent="0.35">
      <c r="A33" s="2" t="s">
        <v>82</v>
      </c>
      <c r="B33" s="1"/>
    </row>
    <row r="34" spans="1:2" x14ac:dyDescent="0.35">
      <c r="A34" s="2" t="s">
        <v>54</v>
      </c>
      <c r="B34" s="1"/>
    </row>
    <row r="35" spans="1:2" x14ac:dyDescent="0.35">
      <c r="A35" s="4" t="s">
        <v>32</v>
      </c>
      <c r="B35" s="1"/>
    </row>
    <row r="36" spans="1:2" x14ac:dyDescent="0.35">
      <c r="A36" s="2" t="s">
        <v>247</v>
      </c>
      <c r="B36" s="1"/>
    </row>
    <row r="37" spans="1:2" x14ac:dyDescent="0.35">
      <c r="A37" s="2" t="s">
        <v>160</v>
      </c>
      <c r="B37" s="7"/>
    </row>
    <row r="38" spans="1:2" x14ac:dyDescent="0.35">
      <c r="A38" s="2" t="s">
        <v>111</v>
      </c>
      <c r="B38" s="1"/>
    </row>
    <row r="39" spans="1:2" x14ac:dyDescent="0.35">
      <c r="A39" s="2" t="s">
        <v>113</v>
      </c>
      <c r="B39" s="1"/>
    </row>
    <row r="40" spans="1:2" x14ac:dyDescent="0.35">
      <c r="A40" s="2" t="s">
        <v>98</v>
      </c>
      <c r="B40" s="1"/>
    </row>
    <row r="41" spans="1:2" x14ac:dyDescent="0.35">
      <c r="A41" s="2" t="s">
        <v>243</v>
      </c>
      <c r="B41" s="1"/>
    </row>
    <row r="42" spans="1:2" x14ac:dyDescent="0.35">
      <c r="A42" s="2" t="s">
        <v>210</v>
      </c>
      <c r="B42" s="1"/>
    </row>
    <row r="43" spans="1:2" x14ac:dyDescent="0.35">
      <c r="A43" s="2" t="s">
        <v>75</v>
      </c>
      <c r="B43" s="1"/>
    </row>
    <row r="44" spans="1:2" x14ac:dyDescent="0.35">
      <c r="A44" s="2" t="s">
        <v>308</v>
      </c>
      <c r="B44" s="1"/>
    </row>
    <row r="45" spans="1:2" x14ac:dyDescent="0.35">
      <c r="A45" s="4" t="s">
        <v>48</v>
      </c>
      <c r="B45" s="1"/>
    </row>
    <row r="46" spans="1:2" x14ac:dyDescent="0.35">
      <c r="A46" s="2" t="s">
        <v>85</v>
      </c>
      <c r="B46" s="1"/>
    </row>
    <row r="47" spans="1:2" x14ac:dyDescent="0.35">
      <c r="A47" s="2" t="s">
        <v>419</v>
      </c>
      <c r="B47" s="1"/>
    </row>
    <row r="48" spans="1:2" x14ac:dyDescent="0.35">
      <c r="A48" s="2" t="s">
        <v>117</v>
      </c>
      <c r="B48" s="1"/>
    </row>
    <row r="49" spans="1:2" x14ac:dyDescent="0.35">
      <c r="A49" s="2" t="s">
        <v>278</v>
      </c>
      <c r="B49" s="1"/>
    </row>
    <row r="50" spans="1:2" x14ac:dyDescent="0.35">
      <c r="A50" s="2" t="s">
        <v>284</v>
      </c>
      <c r="B50" s="1"/>
    </row>
    <row r="51" spans="1:2" x14ac:dyDescent="0.35">
      <c r="A51" s="2" t="s">
        <v>382</v>
      </c>
      <c r="B51" s="1"/>
    </row>
    <row r="52" spans="1:2" x14ac:dyDescent="0.35">
      <c r="A52" s="2" t="s">
        <v>69</v>
      </c>
      <c r="B52" s="1"/>
    </row>
    <row r="53" spans="1:2" x14ac:dyDescent="0.35">
      <c r="A53" s="2" t="s">
        <v>174</v>
      </c>
      <c r="B53" s="1"/>
    </row>
    <row r="54" spans="1:2" x14ac:dyDescent="0.35">
      <c r="A54" s="2" t="s">
        <v>67</v>
      </c>
      <c r="B54" s="1"/>
    </row>
    <row r="55" spans="1:2" x14ac:dyDescent="0.35">
      <c r="A55" s="2" t="s">
        <v>386</v>
      </c>
      <c r="B55" s="1"/>
    </row>
    <row r="56" spans="1:2" x14ac:dyDescent="0.35">
      <c r="A56" s="2" t="s">
        <v>377</v>
      </c>
      <c r="B56" s="7"/>
    </row>
    <row r="57" spans="1:2" x14ac:dyDescent="0.35">
      <c r="A57" s="2" t="s">
        <v>420</v>
      </c>
      <c r="B57" s="1"/>
    </row>
    <row r="58" spans="1:2" x14ac:dyDescent="0.35">
      <c r="A58" s="2" t="s">
        <v>63</v>
      </c>
      <c r="B58" s="1"/>
    </row>
    <row r="59" spans="1:2" x14ac:dyDescent="0.35">
      <c r="A59" s="2" t="s">
        <v>21</v>
      </c>
      <c r="B59" s="1"/>
    </row>
    <row r="60" spans="1:2" x14ac:dyDescent="0.35">
      <c r="A60" s="2" t="s">
        <v>169</v>
      </c>
      <c r="B60" s="1"/>
    </row>
    <row r="61" spans="1:2" x14ac:dyDescent="0.35">
      <c r="A61" s="2" t="s">
        <v>289</v>
      </c>
      <c r="B61" s="1"/>
    </row>
    <row r="62" spans="1:2" x14ac:dyDescent="0.35">
      <c r="A62" s="2" t="s">
        <v>165</v>
      </c>
      <c r="B62" s="1"/>
    </row>
    <row r="63" spans="1:2" x14ac:dyDescent="0.35">
      <c r="A63" s="2" t="s">
        <v>421</v>
      </c>
      <c r="B63" s="1"/>
    </row>
    <row r="64" spans="1:2" x14ac:dyDescent="0.35">
      <c r="A64" s="2" t="s">
        <v>422</v>
      </c>
      <c r="B64" s="1"/>
    </row>
    <row r="65" spans="1:2" x14ac:dyDescent="0.35">
      <c r="A65" s="2" t="s">
        <v>393</v>
      </c>
      <c r="B65" s="1"/>
    </row>
    <row r="66" spans="1:2" x14ac:dyDescent="0.35">
      <c r="A66" s="2" t="s">
        <v>320</v>
      </c>
      <c r="B66" s="1"/>
    </row>
    <row r="67" spans="1:2" x14ac:dyDescent="0.35">
      <c r="A67" s="2" t="s">
        <v>246</v>
      </c>
      <c r="B67" s="1"/>
    </row>
    <row r="68" spans="1:2" x14ac:dyDescent="0.35">
      <c r="A68" s="2" t="s">
        <v>423</v>
      </c>
      <c r="B68" s="1"/>
    </row>
    <row r="69" spans="1:2" x14ac:dyDescent="0.35">
      <c r="A69" s="2" t="s">
        <v>239</v>
      </c>
      <c r="B69" s="1"/>
    </row>
    <row r="70" spans="1:2" x14ac:dyDescent="0.35">
      <c r="A70" s="2" t="s">
        <v>302</v>
      </c>
      <c r="B70" s="1"/>
    </row>
    <row r="71" spans="1:2" x14ac:dyDescent="0.35">
      <c r="A71" s="2" t="s">
        <v>424</v>
      </c>
      <c r="B71" s="7"/>
    </row>
  </sheetData>
  <sortState xmlns:xlrd2="http://schemas.microsoft.com/office/spreadsheetml/2017/richdata2" ref="A2:A71">
    <sortCondition ref="A1:A7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E2DF-9ED1-40A3-A93C-8D5367F6386C}">
  <dimension ref="A1:K78"/>
  <sheetViews>
    <sheetView zoomScale="120" zoomScaleNormal="120" workbookViewId="0">
      <pane ySplit="1" topLeftCell="A15" activePane="bottomLeft" state="frozen"/>
      <selection pane="bottomLeft" activeCell="D77" sqref="D77"/>
    </sheetView>
  </sheetViews>
  <sheetFormatPr defaultColWidth="10.90625" defaultRowHeight="14.5" x14ac:dyDescent="0.35"/>
  <cols>
    <col min="1" max="1" width="4.1796875" customWidth="1"/>
    <col min="2" max="2" width="6.7265625" customWidth="1"/>
    <col min="3" max="3" width="9.26953125" customWidth="1"/>
    <col min="4" max="4" width="72.08984375" customWidth="1"/>
    <col min="5" max="5" width="35.26953125" customWidth="1"/>
    <col min="6" max="6" width="16.54296875" style="11" customWidth="1"/>
    <col min="7" max="7" width="39" customWidth="1"/>
    <col min="9" max="9" width="10.90625" style="46"/>
  </cols>
  <sheetData>
    <row r="1" spans="1:11" ht="15.5" x14ac:dyDescent="0.35">
      <c r="C1" s="77" t="s">
        <v>430</v>
      </c>
      <c r="D1" s="77" t="s">
        <v>537</v>
      </c>
      <c r="E1" s="77" t="s">
        <v>584</v>
      </c>
      <c r="F1" s="87" t="s">
        <v>431</v>
      </c>
      <c r="G1" s="77" t="s">
        <v>541</v>
      </c>
    </row>
    <row r="2" spans="1:11" x14ac:dyDescent="0.35">
      <c r="A2" s="46" t="str">
        <f>IF(F2="N/A","","1")</f>
        <v/>
      </c>
      <c r="B2" s="46" t="str">
        <f>A2</f>
        <v/>
      </c>
      <c r="C2" s="78" t="s">
        <v>546</v>
      </c>
      <c r="D2" s="78" t="s">
        <v>432</v>
      </c>
      <c r="E2" s="78"/>
      <c r="F2" s="88" t="s">
        <v>107</v>
      </c>
      <c r="G2" s="79" t="s">
        <v>107</v>
      </c>
    </row>
    <row r="3" spans="1:11" x14ac:dyDescent="0.35">
      <c r="A3" s="46" t="str">
        <f t="shared" ref="A3:A66" si="0">IF(F3="N/A","","1")</f>
        <v/>
      </c>
      <c r="B3" s="46" t="str">
        <f>IF(A3=1,1+MAX($B$1:$B2),"")</f>
        <v/>
      </c>
      <c r="C3" s="80" t="s">
        <v>27</v>
      </c>
      <c r="D3" s="80" t="s">
        <v>433</v>
      </c>
      <c r="E3" s="80"/>
      <c r="F3" s="89" t="s">
        <v>107</v>
      </c>
      <c r="G3" s="81" t="s">
        <v>107</v>
      </c>
    </row>
    <row r="4" spans="1:11" ht="26" x14ac:dyDescent="0.35">
      <c r="A4" s="46" t="str">
        <f t="shared" si="0"/>
        <v>1</v>
      </c>
      <c r="B4" s="46">
        <f>IF(A4="1",1+MAX($B$1:$B3),"")</f>
        <v>1</v>
      </c>
      <c r="C4" s="82" t="s">
        <v>434</v>
      </c>
      <c r="D4" s="82" t="s">
        <v>435</v>
      </c>
      <c r="E4" s="82" t="s">
        <v>585</v>
      </c>
      <c r="F4" s="90" t="s">
        <v>27</v>
      </c>
      <c r="G4" s="82" t="s">
        <v>28</v>
      </c>
    </row>
    <row r="5" spans="1:11" ht="52" x14ac:dyDescent="0.35">
      <c r="A5" s="46" t="str">
        <f t="shared" si="0"/>
        <v>1</v>
      </c>
      <c r="B5" s="46">
        <f>IF(A5="1",1+MAX($B$1:$B4),"")</f>
        <v>2</v>
      </c>
      <c r="C5" s="82" t="s">
        <v>436</v>
      </c>
      <c r="D5" s="82" t="s">
        <v>437</v>
      </c>
      <c r="E5" s="82" t="s">
        <v>586</v>
      </c>
      <c r="F5" s="90" t="s">
        <v>27</v>
      </c>
      <c r="G5" s="82" t="s">
        <v>28</v>
      </c>
    </row>
    <row r="6" spans="1:11" ht="39" x14ac:dyDescent="0.35">
      <c r="A6" s="46" t="str">
        <f t="shared" si="0"/>
        <v>1</v>
      </c>
      <c r="B6" s="46">
        <f>IF(A6="1",1+MAX($B$1:$B5),"")</f>
        <v>3</v>
      </c>
      <c r="C6" s="82" t="s">
        <v>438</v>
      </c>
      <c r="D6" s="82" t="s">
        <v>439</v>
      </c>
      <c r="E6" s="82" t="s">
        <v>587</v>
      </c>
      <c r="F6" s="90" t="s">
        <v>27</v>
      </c>
      <c r="G6" s="82" t="s">
        <v>28</v>
      </c>
      <c r="H6" s="82" t="s">
        <v>555</v>
      </c>
      <c r="I6" s="46" t="str">
        <f>IF(H6="x",C6,"")</f>
        <v>1.1.c)</v>
      </c>
    </row>
    <row r="7" spans="1:11" ht="26" x14ac:dyDescent="0.35">
      <c r="A7" s="46" t="str">
        <f t="shared" si="0"/>
        <v>1</v>
      </c>
      <c r="B7" s="46">
        <f>IF(A7="1",1+MAX($B$1:$B6),"")</f>
        <v>4</v>
      </c>
      <c r="C7" s="82" t="s">
        <v>440</v>
      </c>
      <c r="D7" s="82" t="s">
        <v>441</v>
      </c>
      <c r="E7" s="82" t="s">
        <v>588</v>
      </c>
      <c r="F7" s="90" t="s">
        <v>27</v>
      </c>
      <c r="G7" s="82" t="s">
        <v>28</v>
      </c>
      <c r="I7" s="46" t="str">
        <f t="shared" ref="I7:I15" si="1">IF(H7="x",C7,"")</f>
        <v/>
      </c>
    </row>
    <row r="8" spans="1:11" x14ac:dyDescent="0.35">
      <c r="A8" s="46" t="str">
        <f t="shared" si="0"/>
        <v>1</v>
      </c>
      <c r="B8" s="46">
        <f>IF(A8="1",1+MAX($B$1:$B7),"")</f>
        <v>5</v>
      </c>
      <c r="C8" s="82" t="s">
        <v>442</v>
      </c>
      <c r="D8" s="82" t="s">
        <v>443</v>
      </c>
      <c r="E8" s="82" t="s">
        <v>589</v>
      </c>
      <c r="F8" s="90" t="s">
        <v>27</v>
      </c>
      <c r="G8" s="82" t="s">
        <v>28</v>
      </c>
      <c r="I8" s="46" t="str">
        <f t="shared" si="1"/>
        <v/>
      </c>
    </row>
    <row r="9" spans="1:11" ht="26" x14ac:dyDescent="0.35">
      <c r="A9" s="46" t="str">
        <f t="shared" si="0"/>
        <v>1</v>
      </c>
      <c r="B9" s="46">
        <f>IF(A9="1",1+MAX($B$1:$B8),"")</f>
        <v>6</v>
      </c>
      <c r="C9" s="82" t="s">
        <v>444</v>
      </c>
      <c r="D9" s="82" t="s">
        <v>543</v>
      </c>
      <c r="E9" s="82" t="s">
        <v>590</v>
      </c>
      <c r="F9" s="90" t="s">
        <v>27</v>
      </c>
      <c r="G9" s="82" t="s">
        <v>28</v>
      </c>
      <c r="H9" s="82"/>
      <c r="I9" s="46" t="str">
        <f t="shared" si="1"/>
        <v/>
      </c>
    </row>
    <row r="10" spans="1:11" x14ac:dyDescent="0.35">
      <c r="A10" s="46" t="str">
        <f t="shared" si="0"/>
        <v>1</v>
      </c>
      <c r="B10" s="46">
        <f>IF(A10="1",1+MAX($B$1:$B9),"")</f>
        <v>7</v>
      </c>
      <c r="C10" s="82" t="s">
        <v>445</v>
      </c>
      <c r="D10" s="82" t="s">
        <v>446</v>
      </c>
      <c r="E10" s="82" t="s">
        <v>591</v>
      </c>
      <c r="F10" s="90" t="s">
        <v>27</v>
      </c>
      <c r="G10" s="82" t="s">
        <v>28</v>
      </c>
      <c r="H10" s="82" t="s">
        <v>555</v>
      </c>
      <c r="I10" s="46" t="str">
        <f t="shared" si="1"/>
        <v>1.1.g)</v>
      </c>
    </row>
    <row r="11" spans="1:11" ht="26" x14ac:dyDescent="0.35">
      <c r="A11" s="46" t="str">
        <f t="shared" si="0"/>
        <v>1</v>
      </c>
      <c r="B11" s="46">
        <f>IF(A11="1",1+MAX($B$1:$B10),"")</f>
        <v>8</v>
      </c>
      <c r="C11" s="82" t="s">
        <v>447</v>
      </c>
      <c r="D11" s="82" t="s">
        <v>448</v>
      </c>
      <c r="E11" s="82" t="s">
        <v>42</v>
      </c>
      <c r="F11" s="90" t="s">
        <v>27</v>
      </c>
      <c r="G11" s="82" t="s">
        <v>28</v>
      </c>
      <c r="H11" s="82"/>
      <c r="I11" s="46" t="str">
        <f t="shared" si="1"/>
        <v/>
      </c>
    </row>
    <row r="12" spans="1:11" ht="26" x14ac:dyDescent="0.35">
      <c r="A12" s="46" t="str">
        <f t="shared" si="0"/>
        <v>1</v>
      </c>
      <c r="B12" s="46">
        <f>IF(A12="1",1+MAX($B$1:$B11),"")</f>
        <v>9</v>
      </c>
      <c r="C12" s="82" t="s">
        <v>449</v>
      </c>
      <c r="D12" s="82" t="s">
        <v>450</v>
      </c>
      <c r="E12" s="82" t="s">
        <v>592</v>
      </c>
      <c r="F12" s="90" t="s">
        <v>27</v>
      </c>
      <c r="G12" s="82" t="s">
        <v>28</v>
      </c>
      <c r="I12" s="46" t="str">
        <f t="shared" si="1"/>
        <v/>
      </c>
    </row>
    <row r="13" spans="1:11" ht="78" x14ac:dyDescent="0.35">
      <c r="A13" s="46" t="str">
        <f t="shared" si="0"/>
        <v>1</v>
      </c>
      <c r="B13" s="46">
        <f>IF(A13="1",1+MAX($B$1:$B12),"")</f>
        <v>10</v>
      </c>
      <c r="C13" s="82" t="s">
        <v>451</v>
      </c>
      <c r="D13" s="82" t="s">
        <v>452</v>
      </c>
      <c r="E13" s="82" t="s">
        <v>593</v>
      </c>
      <c r="F13" s="90" t="s">
        <v>27</v>
      </c>
      <c r="G13" s="82" t="s">
        <v>28</v>
      </c>
      <c r="I13" s="46" t="str">
        <f t="shared" si="1"/>
        <v/>
      </c>
    </row>
    <row r="14" spans="1:11" ht="39" x14ac:dyDescent="0.35">
      <c r="A14" s="46" t="str">
        <f t="shared" si="0"/>
        <v>1</v>
      </c>
      <c r="B14" s="46">
        <f>IF(A14="1",1+MAX($B$1:$B13),"")</f>
        <v>11</v>
      </c>
      <c r="C14" s="82" t="s">
        <v>453</v>
      </c>
      <c r="D14" s="82" t="s">
        <v>454</v>
      </c>
      <c r="E14" s="82" t="s">
        <v>594</v>
      </c>
      <c r="F14" s="90" t="s">
        <v>27</v>
      </c>
      <c r="G14" s="82" t="s">
        <v>28</v>
      </c>
      <c r="H14" s="82"/>
      <c r="I14" s="46" t="str">
        <f t="shared" si="1"/>
        <v/>
      </c>
    </row>
    <row r="15" spans="1:11" ht="52" x14ac:dyDescent="0.35">
      <c r="A15" s="46" t="str">
        <f t="shared" si="0"/>
        <v>1</v>
      </c>
      <c r="B15" s="46">
        <f>IF(A15="1",1+MAX($B$1:$B14),"")</f>
        <v>12</v>
      </c>
      <c r="C15" s="82" t="s">
        <v>455</v>
      </c>
      <c r="D15" s="82" t="s">
        <v>542</v>
      </c>
      <c r="E15" s="82" t="s">
        <v>595</v>
      </c>
      <c r="F15" s="90" t="s">
        <v>70</v>
      </c>
      <c r="G15" s="82" t="s">
        <v>71</v>
      </c>
      <c r="H15" s="82" t="s">
        <v>555</v>
      </c>
      <c r="I15" s="46" t="str">
        <f t="shared" si="1"/>
        <v>1.1.l)</v>
      </c>
    </row>
    <row r="16" spans="1:11" x14ac:dyDescent="0.35">
      <c r="A16" s="46" t="str">
        <f t="shared" si="0"/>
        <v/>
      </c>
      <c r="B16" s="46" t="str">
        <f>IF(A16="1",1+MAX($B$1:$B15),"")</f>
        <v/>
      </c>
      <c r="C16" s="80" t="s">
        <v>70</v>
      </c>
      <c r="D16" s="80" t="s">
        <v>456</v>
      </c>
      <c r="E16" s="80"/>
      <c r="F16" s="89" t="s">
        <v>107</v>
      </c>
      <c r="G16" s="81" t="s">
        <v>107</v>
      </c>
      <c r="J16" s="93"/>
      <c r="K16" t="str" cm="1">
        <f t="array" ref="K16">_xlfn.TEXTJOIN("-", TRUE, _xlfn._xlws.FILTER(I4:I15, ISTEXT(I4:I15)))</f>
        <v>1.1.c)-1.1.g)-1.1.l)</v>
      </c>
    </row>
    <row r="17" spans="1:7" ht="26" x14ac:dyDescent="0.35">
      <c r="A17" s="46" t="str">
        <f t="shared" si="0"/>
        <v>1</v>
      </c>
      <c r="B17" s="46">
        <f>IF(A17="1",1+MAX($B$1:$B16),"")</f>
        <v>13</v>
      </c>
      <c r="C17" s="82" t="s">
        <v>457</v>
      </c>
      <c r="D17" s="83" t="s">
        <v>458</v>
      </c>
      <c r="E17" s="83" t="s">
        <v>596</v>
      </c>
      <c r="F17" s="90" t="s">
        <v>91</v>
      </c>
      <c r="G17" s="82" t="s">
        <v>92</v>
      </c>
    </row>
    <row r="18" spans="1:7" ht="26" x14ac:dyDescent="0.35">
      <c r="A18" s="46" t="str">
        <f t="shared" si="0"/>
        <v>1</v>
      </c>
      <c r="B18" s="46">
        <f>IF(A18="1",1+MAX($B$1:$B17),"")</f>
        <v>14</v>
      </c>
      <c r="C18" s="82" t="s">
        <v>459</v>
      </c>
      <c r="D18" s="82" t="s">
        <v>460</v>
      </c>
      <c r="E18" s="82" t="s">
        <v>597</v>
      </c>
      <c r="F18" s="90" t="s">
        <v>91</v>
      </c>
      <c r="G18" s="82" t="s">
        <v>92</v>
      </c>
    </row>
    <row r="19" spans="1:7" x14ac:dyDescent="0.35">
      <c r="A19" s="46" t="str">
        <f t="shared" si="0"/>
        <v/>
      </c>
      <c r="B19" s="46" t="str">
        <f>IF(A19="1",1+MAX($B$1:$B18),"")</f>
        <v/>
      </c>
      <c r="C19" s="143" t="s">
        <v>463</v>
      </c>
      <c r="D19" s="78" t="s">
        <v>461</v>
      </c>
      <c r="E19" s="78"/>
      <c r="F19" s="144" t="s">
        <v>107</v>
      </c>
      <c r="G19" s="145" t="s">
        <v>107</v>
      </c>
    </row>
    <row r="20" spans="1:7" x14ac:dyDescent="0.35">
      <c r="A20" s="46" t="str">
        <f t="shared" si="0"/>
        <v>1</v>
      </c>
      <c r="B20" s="46">
        <f>IF(A20="1",1+MAX($B$1:$B19),"")</f>
        <v>15</v>
      </c>
      <c r="C20" s="143"/>
      <c r="D20" s="78" t="s">
        <v>462</v>
      </c>
      <c r="E20" s="78"/>
      <c r="F20" s="144"/>
      <c r="G20" s="145"/>
    </row>
    <row r="21" spans="1:7" x14ac:dyDescent="0.35">
      <c r="A21" s="46" t="str">
        <f t="shared" si="0"/>
        <v/>
      </c>
      <c r="B21" s="46" t="str">
        <f>IF(A21="1",1+MAX($B$1:$B20),"")</f>
        <v/>
      </c>
      <c r="C21" s="82" t="s">
        <v>463</v>
      </c>
      <c r="D21" s="82" t="s">
        <v>464</v>
      </c>
      <c r="E21" s="82"/>
      <c r="F21" s="91" t="s">
        <v>107</v>
      </c>
      <c r="G21" s="84" t="s">
        <v>107</v>
      </c>
    </row>
    <row r="22" spans="1:7" ht="39" x14ac:dyDescent="0.35">
      <c r="A22" s="46" t="str">
        <f t="shared" si="0"/>
        <v>1</v>
      </c>
      <c r="B22" s="46">
        <f>IF(A22="1",1+MAX($B$1:$B21),"")</f>
        <v>16</v>
      </c>
      <c r="C22" s="82" t="s">
        <v>463</v>
      </c>
      <c r="D22" s="82" t="s">
        <v>465</v>
      </c>
      <c r="E22" s="82" t="s">
        <v>598</v>
      </c>
      <c r="F22" s="90" t="s">
        <v>99</v>
      </c>
      <c r="G22" s="82" t="s">
        <v>100</v>
      </c>
    </row>
    <row r="23" spans="1:7" ht="26" x14ac:dyDescent="0.35">
      <c r="A23" s="46" t="str">
        <f t="shared" si="0"/>
        <v>1</v>
      </c>
      <c r="B23" s="46">
        <f>IF(A23="1",1+MAX($B$1:$B22),"")</f>
        <v>17</v>
      </c>
      <c r="C23" s="82" t="s">
        <v>463</v>
      </c>
      <c r="D23" s="82" t="s">
        <v>466</v>
      </c>
      <c r="E23" s="82" t="s">
        <v>599</v>
      </c>
      <c r="F23" s="90" t="s">
        <v>108</v>
      </c>
      <c r="G23" s="82" t="s">
        <v>109</v>
      </c>
    </row>
    <row r="24" spans="1:7" x14ac:dyDescent="0.35">
      <c r="A24" s="46" t="str">
        <f t="shared" si="0"/>
        <v/>
      </c>
      <c r="B24" s="46" t="str">
        <f>IF(A24="1",1+MAX($B$1:$B23),"")</f>
        <v/>
      </c>
      <c r="C24" s="143" t="s">
        <v>547</v>
      </c>
      <c r="D24" s="78" t="s">
        <v>467</v>
      </c>
      <c r="E24" s="78"/>
      <c r="F24" s="144" t="s">
        <v>107</v>
      </c>
      <c r="G24" s="145" t="s">
        <v>107</v>
      </c>
    </row>
    <row r="25" spans="1:7" x14ac:dyDescent="0.35">
      <c r="A25" s="46" t="str">
        <f t="shared" si="0"/>
        <v>1</v>
      </c>
      <c r="B25" s="46">
        <f>IF(A25="1",1+MAX($B$1:$B24),"")</f>
        <v>18</v>
      </c>
      <c r="C25" s="143"/>
      <c r="D25" s="78" t="s">
        <v>468</v>
      </c>
      <c r="E25" s="78"/>
      <c r="F25" s="144"/>
      <c r="G25" s="145"/>
    </row>
    <row r="26" spans="1:7" x14ac:dyDescent="0.35">
      <c r="A26" s="46" t="str">
        <f t="shared" si="0"/>
        <v>1</v>
      </c>
      <c r="B26" s="46">
        <f>IF(A26="1",1+MAX($B$1:$B25),"")</f>
        <v>19</v>
      </c>
      <c r="C26" s="82" t="s">
        <v>469</v>
      </c>
      <c r="D26" s="82" t="s">
        <v>470</v>
      </c>
      <c r="E26" s="82" t="s">
        <v>603</v>
      </c>
      <c r="F26" s="90" t="s">
        <v>127</v>
      </c>
      <c r="G26" s="82" t="s">
        <v>128</v>
      </c>
    </row>
    <row r="27" spans="1:7" ht="65" x14ac:dyDescent="0.35">
      <c r="A27" s="46" t="str">
        <f t="shared" si="0"/>
        <v>1</v>
      </c>
      <c r="B27" s="46">
        <f>IF(A27="1",1+MAX($B$1:$B26),"")</f>
        <v>20</v>
      </c>
      <c r="C27" s="82" t="s">
        <v>471</v>
      </c>
      <c r="D27" s="82" t="s">
        <v>472</v>
      </c>
      <c r="E27" s="82" t="s">
        <v>604</v>
      </c>
      <c r="F27" s="90" t="s">
        <v>140</v>
      </c>
      <c r="G27" s="82" t="s">
        <v>141</v>
      </c>
    </row>
    <row r="28" spans="1:7" ht="26" x14ac:dyDescent="0.35">
      <c r="A28" s="46" t="str">
        <f t="shared" si="0"/>
        <v>1</v>
      </c>
      <c r="B28" s="46">
        <f>IF(A28="1",1+MAX($B$1:$B27),"")</f>
        <v>21</v>
      </c>
      <c r="C28" s="82" t="s">
        <v>473</v>
      </c>
      <c r="D28" s="82" t="s">
        <v>474</v>
      </c>
      <c r="E28" s="82" t="s">
        <v>605</v>
      </c>
      <c r="F28" s="90" t="s">
        <v>133</v>
      </c>
      <c r="G28" s="82" t="s">
        <v>134</v>
      </c>
    </row>
    <row r="29" spans="1:7" x14ac:dyDescent="0.35">
      <c r="A29" s="46" t="str">
        <f t="shared" si="0"/>
        <v/>
      </c>
      <c r="B29" s="46" t="str">
        <f>IF(A29="1",1+MAX($B$1:$B28),"")</f>
        <v/>
      </c>
      <c r="C29" s="78" t="s">
        <v>476</v>
      </c>
      <c r="D29" s="78" t="s">
        <v>475</v>
      </c>
      <c r="E29" s="78"/>
      <c r="F29" s="88" t="s">
        <v>107</v>
      </c>
      <c r="G29" s="79" t="s">
        <v>107</v>
      </c>
    </row>
    <row r="30" spans="1:7" ht="65" x14ac:dyDescent="0.35">
      <c r="A30" s="46" t="str">
        <f t="shared" si="0"/>
        <v>1</v>
      </c>
      <c r="B30" s="46">
        <f>IF(A30="1",1+MAX($B$1:$B29),"")</f>
        <v>22</v>
      </c>
      <c r="C30" s="82" t="s">
        <v>476</v>
      </c>
      <c r="D30" s="82" t="s">
        <v>477</v>
      </c>
      <c r="E30" s="82" t="s">
        <v>608</v>
      </c>
      <c r="F30" s="90" t="s">
        <v>157</v>
      </c>
      <c r="G30" s="82" t="s">
        <v>158</v>
      </c>
    </row>
    <row r="31" spans="1:7" ht="26" x14ac:dyDescent="0.35">
      <c r="A31" s="46" t="str">
        <f t="shared" si="0"/>
        <v>1</v>
      </c>
      <c r="B31" s="46">
        <f>IF(A31="1",1+MAX($B$1:$B30),"")</f>
        <v>23</v>
      </c>
      <c r="C31" s="82" t="s">
        <v>478</v>
      </c>
      <c r="D31" s="82" t="s">
        <v>479</v>
      </c>
      <c r="E31" s="82" t="s">
        <v>606</v>
      </c>
      <c r="F31" s="90" t="s">
        <v>157</v>
      </c>
      <c r="G31" s="82" t="s">
        <v>158</v>
      </c>
    </row>
    <row r="32" spans="1:7" ht="26" x14ac:dyDescent="0.35">
      <c r="A32" s="46" t="str">
        <f t="shared" si="0"/>
        <v>1</v>
      </c>
      <c r="B32" s="46">
        <f>IF(A32="1",1+MAX($B$1:$B31),"")</f>
        <v>24</v>
      </c>
      <c r="C32" s="82" t="s">
        <v>480</v>
      </c>
      <c r="D32" s="82" t="s">
        <v>481</v>
      </c>
      <c r="E32" s="82" t="s">
        <v>609</v>
      </c>
      <c r="F32" s="90" t="s">
        <v>157</v>
      </c>
      <c r="G32" s="82" t="s">
        <v>158</v>
      </c>
    </row>
    <row r="33" spans="1:7" x14ac:dyDescent="0.35">
      <c r="A33" s="46" t="str">
        <f t="shared" si="0"/>
        <v>1</v>
      </c>
      <c r="B33" s="46">
        <f>IF(A33="1",1+MAX($B$1:$B32),"")</f>
        <v>25</v>
      </c>
      <c r="C33" s="82" t="s">
        <v>482</v>
      </c>
      <c r="D33" s="82" t="s">
        <v>483</v>
      </c>
      <c r="E33" s="82" t="s">
        <v>607</v>
      </c>
      <c r="F33" s="90" t="s">
        <v>162</v>
      </c>
      <c r="G33" s="82" t="s">
        <v>163</v>
      </c>
    </row>
    <row r="34" spans="1:7" ht="65" x14ac:dyDescent="0.35">
      <c r="A34" s="46" t="str">
        <f t="shared" si="0"/>
        <v>1</v>
      </c>
      <c r="B34" s="46">
        <f>IF(A34="1",1+MAX($B$1:$B33),"")</f>
        <v>26</v>
      </c>
      <c r="C34" s="82" t="s">
        <v>484</v>
      </c>
      <c r="D34" s="82" t="s">
        <v>485</v>
      </c>
      <c r="E34" s="82" t="s">
        <v>610</v>
      </c>
      <c r="F34" s="90" t="s">
        <v>157</v>
      </c>
      <c r="G34" s="82" t="s">
        <v>158</v>
      </c>
    </row>
    <row r="35" spans="1:7" x14ac:dyDescent="0.35">
      <c r="A35" s="46" t="str">
        <f t="shared" si="0"/>
        <v/>
      </c>
      <c r="B35" s="46" t="str">
        <f>IF(A35="1",1+MAX($B$1:$B34),"")</f>
        <v/>
      </c>
      <c r="C35" s="78" t="s">
        <v>486</v>
      </c>
      <c r="D35" s="78" t="s">
        <v>548</v>
      </c>
      <c r="E35" s="78"/>
      <c r="F35" s="79" t="s">
        <v>107</v>
      </c>
      <c r="G35" s="79" t="s">
        <v>107</v>
      </c>
    </row>
    <row r="36" spans="1:7" x14ac:dyDescent="0.35">
      <c r="A36" s="46" t="str">
        <f t="shared" si="0"/>
        <v/>
      </c>
      <c r="B36" s="46" t="str">
        <f>IF(A36="1",1+MAX($B$1:$B35),"")</f>
        <v/>
      </c>
      <c r="C36" s="82" t="s">
        <v>486</v>
      </c>
      <c r="D36" s="82" t="s">
        <v>538</v>
      </c>
      <c r="E36" s="82"/>
      <c r="F36" s="91" t="s">
        <v>107</v>
      </c>
      <c r="G36" s="84" t="s">
        <v>107</v>
      </c>
    </row>
    <row r="37" spans="1:7" x14ac:dyDescent="0.35">
      <c r="A37" s="46" t="str">
        <f t="shared" si="0"/>
        <v>1</v>
      </c>
      <c r="B37" s="46">
        <f>IF(A37="1",1+MAX($B$1:$B36),"")</f>
        <v>27</v>
      </c>
      <c r="C37" s="82" t="s">
        <v>487</v>
      </c>
      <c r="D37" s="82" t="s">
        <v>488</v>
      </c>
      <c r="E37" s="82" t="s">
        <v>611</v>
      </c>
      <c r="F37" s="90" t="s">
        <v>269</v>
      </c>
      <c r="G37" s="82" t="s">
        <v>270</v>
      </c>
    </row>
    <row r="38" spans="1:7" x14ac:dyDescent="0.35">
      <c r="A38" s="46" t="str">
        <f t="shared" si="0"/>
        <v>1</v>
      </c>
      <c r="B38" s="46">
        <f>IF(A38="1",1+MAX($B$1:$B37),"")</f>
        <v>28</v>
      </c>
      <c r="C38" s="82" t="s">
        <v>489</v>
      </c>
      <c r="D38" s="82" t="s">
        <v>490</v>
      </c>
      <c r="E38" s="82" t="s">
        <v>570</v>
      </c>
      <c r="F38" s="90">
        <v>5</v>
      </c>
      <c r="G38" s="82" t="s">
        <v>172</v>
      </c>
    </row>
    <row r="39" spans="1:7" x14ac:dyDescent="0.35">
      <c r="A39" s="46" t="str">
        <f t="shared" si="0"/>
        <v/>
      </c>
      <c r="B39" s="46" t="str">
        <f>IF(A39="1",1+MAX($B$1:$B38),"")</f>
        <v/>
      </c>
      <c r="C39" s="78" t="s">
        <v>492</v>
      </c>
      <c r="D39" s="78" t="s">
        <v>491</v>
      </c>
      <c r="E39" s="78"/>
      <c r="F39" s="88" t="s">
        <v>107</v>
      </c>
      <c r="G39" s="79" t="s">
        <v>107</v>
      </c>
    </row>
    <row r="40" spans="1:7" ht="52" x14ac:dyDescent="0.35">
      <c r="A40" s="46" t="str">
        <f t="shared" si="0"/>
        <v>1</v>
      </c>
      <c r="B40" s="46">
        <f>IF(A40="1",1+MAX($B$1:$B39),"")</f>
        <v>29</v>
      </c>
      <c r="C40" s="82" t="s">
        <v>492</v>
      </c>
      <c r="D40" s="82" t="s">
        <v>493</v>
      </c>
      <c r="E40" s="82"/>
      <c r="F40" s="90">
        <v>6</v>
      </c>
      <c r="G40" s="82" t="s">
        <v>190</v>
      </c>
    </row>
    <row r="41" spans="1:7" x14ac:dyDescent="0.35">
      <c r="A41" s="46" t="str">
        <f t="shared" si="0"/>
        <v/>
      </c>
      <c r="B41" s="46" t="str">
        <f>IF(A41="1",1+MAX($B$1:$B40),"")</f>
        <v/>
      </c>
      <c r="C41" s="80" t="s">
        <v>191</v>
      </c>
      <c r="D41" s="80" t="s">
        <v>494</v>
      </c>
      <c r="E41" s="80"/>
      <c r="F41" s="89" t="s">
        <v>107</v>
      </c>
      <c r="G41" s="81" t="s">
        <v>107</v>
      </c>
    </row>
    <row r="42" spans="1:7" ht="52" x14ac:dyDescent="0.35">
      <c r="A42" s="46" t="str">
        <f t="shared" si="0"/>
        <v>1</v>
      </c>
      <c r="B42" s="46">
        <f>IF(A42="1",1+MAX($B$1:$B41),"")</f>
        <v>30</v>
      </c>
      <c r="C42" s="82" t="s">
        <v>495</v>
      </c>
      <c r="D42" s="82" t="s">
        <v>496</v>
      </c>
      <c r="E42" s="82"/>
      <c r="F42" s="90" t="s">
        <v>191</v>
      </c>
      <c r="G42" s="82" t="s">
        <v>192</v>
      </c>
    </row>
    <row r="43" spans="1:7" ht="26" x14ac:dyDescent="0.35">
      <c r="A43" s="46" t="str">
        <f t="shared" si="0"/>
        <v>1</v>
      </c>
      <c r="B43" s="46">
        <f>IF(A43="1",1+MAX($B$1:$B42),"")</f>
        <v>31</v>
      </c>
      <c r="C43" s="82" t="s">
        <v>497</v>
      </c>
      <c r="D43" s="82" t="s">
        <v>498</v>
      </c>
      <c r="E43" s="82"/>
      <c r="F43" s="90" t="s">
        <v>191</v>
      </c>
      <c r="G43" s="82" t="s">
        <v>192</v>
      </c>
    </row>
    <row r="44" spans="1:7" ht="26" x14ac:dyDescent="0.35">
      <c r="A44" s="46" t="str">
        <f t="shared" si="0"/>
        <v>1</v>
      </c>
      <c r="B44" s="46">
        <f>IF(A44="1",1+MAX($B$1:$B43),"")</f>
        <v>32</v>
      </c>
      <c r="C44" s="82" t="s">
        <v>499</v>
      </c>
      <c r="D44" s="82" t="s">
        <v>500</v>
      </c>
      <c r="E44" s="82"/>
      <c r="F44" s="90" t="s">
        <v>226</v>
      </c>
      <c r="G44" s="82" t="s">
        <v>227</v>
      </c>
    </row>
    <row r="45" spans="1:7" x14ac:dyDescent="0.35">
      <c r="A45" s="46" t="str">
        <f t="shared" si="0"/>
        <v>1</v>
      </c>
      <c r="B45" s="46">
        <f>IF(A45="1",1+MAX($B$1:$B44),"")</f>
        <v>33</v>
      </c>
      <c r="C45" s="82" t="s">
        <v>499</v>
      </c>
      <c r="D45" s="82" t="s">
        <v>544</v>
      </c>
      <c r="E45" s="82"/>
      <c r="F45" s="90" t="s">
        <v>226</v>
      </c>
      <c r="G45" s="82" t="s">
        <v>227</v>
      </c>
    </row>
    <row r="46" spans="1:7" ht="26" x14ac:dyDescent="0.35">
      <c r="A46" s="46" t="str">
        <f t="shared" si="0"/>
        <v>1</v>
      </c>
      <c r="B46" s="46">
        <f>IF(A46="1",1+MAX($B$1:$B45),"")</f>
        <v>34</v>
      </c>
      <c r="C46" s="82" t="s">
        <v>499</v>
      </c>
      <c r="D46" s="82" t="s">
        <v>501</v>
      </c>
      <c r="E46" s="82"/>
      <c r="F46" s="90" t="s">
        <v>252</v>
      </c>
      <c r="G46" s="82" t="s">
        <v>253</v>
      </c>
    </row>
    <row r="47" spans="1:7" ht="78" x14ac:dyDescent="0.35">
      <c r="A47" s="46" t="str">
        <f t="shared" si="0"/>
        <v>1</v>
      </c>
      <c r="B47" s="46">
        <f>IF(A47="1",1+MAX($B$1:$B46),"")</f>
        <v>35</v>
      </c>
      <c r="C47" s="82" t="s">
        <v>499</v>
      </c>
      <c r="D47" s="82" t="s">
        <v>502</v>
      </c>
      <c r="E47" s="82"/>
      <c r="F47" s="90" t="s">
        <v>339</v>
      </c>
      <c r="G47" s="82" t="s">
        <v>340</v>
      </c>
    </row>
    <row r="48" spans="1:7" x14ac:dyDescent="0.35">
      <c r="A48" s="46" t="str">
        <f t="shared" si="0"/>
        <v>1</v>
      </c>
      <c r="B48" s="46">
        <f>IF(A48="1",1+MAX($B$1:$B47),"")</f>
        <v>36</v>
      </c>
      <c r="C48" s="82" t="s">
        <v>499</v>
      </c>
      <c r="D48" s="82" t="s">
        <v>503</v>
      </c>
      <c r="E48" s="82"/>
      <c r="F48" s="90" t="s">
        <v>254</v>
      </c>
      <c r="G48" s="82" t="s">
        <v>504</v>
      </c>
    </row>
    <row r="49" spans="1:7" x14ac:dyDescent="0.35">
      <c r="A49" s="46" t="str">
        <f t="shared" si="0"/>
        <v>1</v>
      </c>
      <c r="B49" s="46">
        <f>IF(A49="1",1+MAX($B$1:$B48),"")</f>
        <v>37</v>
      </c>
      <c r="C49" s="82" t="s">
        <v>499</v>
      </c>
      <c r="D49" s="82" t="s">
        <v>505</v>
      </c>
      <c r="E49" s="82"/>
      <c r="F49" s="90" t="s">
        <v>256</v>
      </c>
      <c r="G49" s="82" t="s">
        <v>257</v>
      </c>
    </row>
    <row r="50" spans="1:7" ht="31" customHeight="1" x14ac:dyDescent="0.35">
      <c r="A50" s="46" t="str">
        <f t="shared" si="0"/>
        <v>1</v>
      </c>
      <c r="B50" s="46">
        <f>IF(A50="1",1+MAX($B$1:$B49),"")</f>
        <v>38</v>
      </c>
      <c r="C50" s="82" t="s">
        <v>499</v>
      </c>
      <c r="D50" s="32" t="s">
        <v>506</v>
      </c>
      <c r="E50" s="32"/>
      <c r="F50" s="90" t="s">
        <v>191</v>
      </c>
      <c r="G50" s="82" t="s">
        <v>192</v>
      </c>
    </row>
    <row r="51" spans="1:7" ht="65" x14ac:dyDescent="0.35">
      <c r="A51" s="46" t="str">
        <f t="shared" si="0"/>
        <v>1</v>
      </c>
      <c r="B51" s="46">
        <f>IF(A51="1",1+MAX($B$1:$B50),"")</f>
        <v>39</v>
      </c>
      <c r="C51" s="82" t="s">
        <v>499</v>
      </c>
      <c r="D51" s="82" t="s">
        <v>507</v>
      </c>
      <c r="E51" s="82"/>
      <c r="F51" s="90" t="s">
        <v>191</v>
      </c>
      <c r="G51" s="82" t="s">
        <v>192</v>
      </c>
    </row>
    <row r="52" spans="1:7" ht="26" x14ac:dyDescent="0.35">
      <c r="A52" s="46" t="str">
        <f t="shared" si="0"/>
        <v>1</v>
      </c>
      <c r="B52" s="46">
        <f>IF(A52="1",1+MAX($B$1:$B51),"")</f>
        <v>40</v>
      </c>
      <c r="C52" s="82" t="s">
        <v>508</v>
      </c>
      <c r="D52" s="82" t="s">
        <v>509</v>
      </c>
      <c r="E52" s="82"/>
      <c r="F52" s="90" t="s">
        <v>262</v>
      </c>
      <c r="G52" s="82" t="s">
        <v>539</v>
      </c>
    </row>
    <row r="53" spans="1:7" ht="26" x14ac:dyDescent="0.35">
      <c r="A53" s="46" t="str">
        <f t="shared" si="0"/>
        <v>1</v>
      </c>
      <c r="B53" s="46">
        <f>IF(A53="1",1+MAX($B$1:$B52),"")</f>
        <v>41</v>
      </c>
      <c r="C53" s="82" t="s">
        <v>508</v>
      </c>
      <c r="D53" s="82" t="s">
        <v>509</v>
      </c>
      <c r="E53" s="82"/>
      <c r="F53" s="90" t="s">
        <v>269</v>
      </c>
      <c r="G53" s="82" t="s">
        <v>540</v>
      </c>
    </row>
    <row r="54" spans="1:7" ht="26" x14ac:dyDescent="0.35">
      <c r="A54" s="46" t="str">
        <f t="shared" si="0"/>
        <v>1</v>
      </c>
      <c r="B54" s="46">
        <f>IF(A54="1",1+MAX($B$1:$B53),"")</f>
        <v>42</v>
      </c>
      <c r="C54" s="82" t="s">
        <v>510</v>
      </c>
      <c r="D54" s="83" t="s">
        <v>511</v>
      </c>
      <c r="E54" s="83"/>
      <c r="F54" s="90" t="s">
        <v>291</v>
      </c>
      <c r="G54" s="82" t="s">
        <v>292</v>
      </c>
    </row>
    <row r="55" spans="1:7" x14ac:dyDescent="0.35">
      <c r="A55" s="46" t="str">
        <f t="shared" si="0"/>
        <v/>
      </c>
      <c r="B55" s="46" t="str">
        <f>IF(A55="1",1+MAX($B$1:$B54),"")</f>
        <v/>
      </c>
      <c r="C55" s="80" t="s">
        <v>260</v>
      </c>
      <c r="D55" s="80" t="s">
        <v>512</v>
      </c>
      <c r="E55" s="80"/>
      <c r="F55" s="89" t="s">
        <v>107</v>
      </c>
      <c r="G55" s="81" t="s">
        <v>107</v>
      </c>
    </row>
    <row r="56" spans="1:7" ht="91" x14ac:dyDescent="0.35">
      <c r="A56" s="46" t="str">
        <f t="shared" si="0"/>
        <v>1</v>
      </c>
      <c r="B56" s="46">
        <f>IF(A56="1",1+MAX($B$1:$B55),"")</f>
        <v>43</v>
      </c>
      <c r="C56" s="82" t="s">
        <v>513</v>
      </c>
      <c r="D56" s="82" t="s">
        <v>514</v>
      </c>
      <c r="E56" s="82"/>
      <c r="F56" s="90" t="s">
        <v>361</v>
      </c>
      <c r="G56" s="82" t="s">
        <v>362</v>
      </c>
    </row>
    <row r="57" spans="1:7" ht="113" customHeight="1" x14ac:dyDescent="0.35">
      <c r="A57" s="46" t="str">
        <f t="shared" si="0"/>
        <v>1</v>
      </c>
      <c r="B57" s="46">
        <f>IF(A57="1",1+MAX($B$1:$B56),"")</f>
        <v>44</v>
      </c>
      <c r="C57" s="82" t="s">
        <v>515</v>
      </c>
      <c r="D57" s="82" t="s">
        <v>516</v>
      </c>
      <c r="E57" s="82"/>
      <c r="F57" s="90" t="s">
        <v>363</v>
      </c>
      <c r="G57" s="82" t="s">
        <v>364</v>
      </c>
    </row>
    <row r="58" spans="1:7" ht="65" x14ac:dyDescent="0.35">
      <c r="A58" s="46" t="str">
        <f t="shared" si="0"/>
        <v>1</v>
      </c>
      <c r="B58" s="46">
        <f>IF(A58="1",1+MAX($B$1:$B57),"")</f>
        <v>45</v>
      </c>
      <c r="C58" s="82" t="s">
        <v>517</v>
      </c>
      <c r="D58" s="82" t="s">
        <v>518</v>
      </c>
      <c r="E58" s="82"/>
      <c r="F58" s="90" t="s">
        <v>226</v>
      </c>
      <c r="G58" s="82" t="s">
        <v>227</v>
      </c>
    </row>
    <row r="59" spans="1:7" x14ac:dyDescent="0.35">
      <c r="A59" s="46" t="str">
        <f t="shared" si="0"/>
        <v>1</v>
      </c>
      <c r="B59" s="46">
        <f>IF(A59="1",1+MAX($B$1:$B58),"")</f>
        <v>46</v>
      </c>
      <c r="C59" s="82" t="s">
        <v>519</v>
      </c>
      <c r="D59" s="82" t="s">
        <v>520</v>
      </c>
      <c r="E59" s="82"/>
      <c r="F59" s="90" t="s">
        <v>226</v>
      </c>
      <c r="G59" s="82" t="s">
        <v>227</v>
      </c>
    </row>
    <row r="60" spans="1:7" ht="39" x14ac:dyDescent="0.35">
      <c r="A60" s="46" t="str">
        <f t="shared" si="0"/>
        <v>1</v>
      </c>
      <c r="B60" s="46">
        <f>IF(A60="1",1+MAX($B$1:$B59),"")</f>
        <v>47</v>
      </c>
      <c r="C60" s="82" t="s">
        <v>519</v>
      </c>
      <c r="D60" s="82" t="s">
        <v>521</v>
      </c>
      <c r="E60" s="82"/>
      <c r="F60" s="90" t="s">
        <v>226</v>
      </c>
      <c r="G60" s="82" t="s">
        <v>227</v>
      </c>
    </row>
    <row r="61" spans="1:7" x14ac:dyDescent="0.35">
      <c r="A61" s="46" t="str">
        <f t="shared" si="0"/>
        <v>1</v>
      </c>
      <c r="B61" s="46">
        <f>IF(A61="1",1+MAX($B$1:$B60),"")</f>
        <v>48</v>
      </c>
      <c r="C61" s="82" t="s">
        <v>519</v>
      </c>
      <c r="D61" s="82" t="s">
        <v>522</v>
      </c>
      <c r="E61" s="82"/>
      <c r="F61" s="90" t="s">
        <v>226</v>
      </c>
      <c r="G61" s="82" t="s">
        <v>227</v>
      </c>
    </row>
    <row r="62" spans="1:7" ht="39" x14ac:dyDescent="0.35">
      <c r="A62" s="46" t="str">
        <f t="shared" si="0"/>
        <v>1</v>
      </c>
      <c r="B62" s="46">
        <f>IF(A62="1",1+MAX($B$1:$B61),"")</f>
        <v>49</v>
      </c>
      <c r="C62" s="82" t="s">
        <v>519</v>
      </c>
      <c r="D62" s="82" t="s">
        <v>523</v>
      </c>
      <c r="E62" s="82"/>
      <c r="F62" s="90" t="s">
        <v>226</v>
      </c>
      <c r="G62" s="82" t="s">
        <v>227</v>
      </c>
    </row>
    <row r="63" spans="1:7" x14ac:dyDescent="0.35">
      <c r="A63" s="46" t="str">
        <f t="shared" si="0"/>
        <v>1</v>
      </c>
      <c r="B63" s="46">
        <f>IF(A63="1",1+MAX($B$1:$B62),"")</f>
        <v>50</v>
      </c>
      <c r="C63" s="82" t="s">
        <v>519</v>
      </c>
      <c r="D63" s="82" t="s">
        <v>524</v>
      </c>
      <c r="E63" s="82"/>
      <c r="F63" s="90" t="s">
        <v>226</v>
      </c>
      <c r="G63" s="82" t="s">
        <v>227</v>
      </c>
    </row>
    <row r="64" spans="1:7" ht="26" x14ac:dyDescent="0.35">
      <c r="A64" s="46" t="str">
        <f t="shared" si="0"/>
        <v>1</v>
      </c>
      <c r="B64" s="46">
        <f>IF(A64="1",1+MAX($B$1:$B63),"")</f>
        <v>51</v>
      </c>
      <c r="C64" s="82" t="s">
        <v>525</v>
      </c>
      <c r="D64" s="82" t="s">
        <v>545</v>
      </c>
      <c r="E64" s="82"/>
      <c r="F64" s="90" t="s">
        <v>226</v>
      </c>
      <c r="G64" s="82" t="s">
        <v>227</v>
      </c>
    </row>
    <row r="65" spans="1:7" ht="78" x14ac:dyDescent="0.35">
      <c r="A65" s="46" t="str">
        <f t="shared" si="0"/>
        <v>1</v>
      </c>
      <c r="B65" s="46">
        <f>IF(A65="1",1+MAX($B$1:$B64),"")</f>
        <v>52</v>
      </c>
      <c r="C65" s="82" t="s">
        <v>552</v>
      </c>
      <c r="D65" s="82" t="s">
        <v>549</v>
      </c>
      <c r="E65" s="82" t="s">
        <v>600</v>
      </c>
      <c r="F65" s="90"/>
      <c r="G65" s="82"/>
    </row>
    <row r="66" spans="1:7" ht="39" x14ac:dyDescent="0.35">
      <c r="A66" s="46" t="str">
        <f t="shared" si="0"/>
        <v>1</v>
      </c>
      <c r="B66" s="46">
        <f>IF(A66="1",1+MAX($B$1:$B65),"")</f>
        <v>53</v>
      </c>
      <c r="C66" s="82" t="s">
        <v>553</v>
      </c>
      <c r="D66" s="82" t="s">
        <v>550</v>
      </c>
      <c r="E66" s="82" t="s">
        <v>601</v>
      </c>
      <c r="F66" s="90"/>
      <c r="G66" s="82"/>
    </row>
    <row r="67" spans="1:7" ht="52" x14ac:dyDescent="0.35">
      <c r="A67" s="46" t="str">
        <f t="shared" ref="A67:A78" si="2">IF(F67="N/A","","1")</f>
        <v>1</v>
      </c>
      <c r="B67" s="46">
        <f>IF(A67="1",1+MAX($B$1:$B66),"")</f>
        <v>54</v>
      </c>
      <c r="C67" s="82" t="s">
        <v>554</v>
      </c>
      <c r="D67" s="82" t="s">
        <v>551</v>
      </c>
      <c r="E67" s="82" t="s">
        <v>602</v>
      </c>
      <c r="F67" s="90"/>
      <c r="G67" s="82"/>
    </row>
    <row r="68" spans="1:7" x14ac:dyDescent="0.35">
      <c r="A68" s="46" t="str">
        <f t="shared" si="2"/>
        <v>1</v>
      </c>
      <c r="B68" s="46">
        <f>IF(A68="1",1+MAX($B$1:$B67),"")</f>
        <v>55</v>
      </c>
    </row>
    <row r="69" spans="1:7" x14ac:dyDescent="0.35">
      <c r="A69" s="46" t="str">
        <f t="shared" si="2"/>
        <v>1</v>
      </c>
      <c r="B69" s="46">
        <f>IF(A69="1",1+MAX($B$1:$B68),"")</f>
        <v>56</v>
      </c>
      <c r="C69" s="82"/>
      <c r="D69" s="82"/>
      <c r="E69" s="82"/>
      <c r="F69" s="90"/>
      <c r="G69" s="82"/>
    </row>
    <row r="70" spans="1:7" ht="39" x14ac:dyDescent="0.35">
      <c r="A70" s="46" t="str">
        <f t="shared" si="2"/>
        <v>1</v>
      </c>
      <c r="B70" s="46">
        <f>IF(A70="1",1+MAX($B$1:$B69),"")</f>
        <v>57</v>
      </c>
      <c r="C70" s="82" t="s">
        <v>526</v>
      </c>
      <c r="D70" s="82" t="s">
        <v>527</v>
      </c>
      <c r="E70" s="82"/>
      <c r="F70" s="90">
        <v>8</v>
      </c>
      <c r="G70" s="82" t="s">
        <v>380</v>
      </c>
    </row>
    <row r="71" spans="1:7" ht="26" x14ac:dyDescent="0.35">
      <c r="A71" s="46" t="str">
        <f t="shared" si="2"/>
        <v>1</v>
      </c>
      <c r="B71" s="46">
        <f>IF(A71="1",1+MAX($B$1:$B70),"")</f>
        <v>58</v>
      </c>
      <c r="C71" s="82" t="s">
        <v>526</v>
      </c>
      <c r="D71" s="82" t="s">
        <v>528</v>
      </c>
      <c r="E71" s="82"/>
      <c r="F71" s="90">
        <v>8</v>
      </c>
      <c r="G71" s="82" t="s">
        <v>380</v>
      </c>
    </row>
    <row r="72" spans="1:7" ht="52" x14ac:dyDescent="0.35">
      <c r="A72" s="46" t="str">
        <f t="shared" si="2"/>
        <v>1</v>
      </c>
      <c r="B72" s="46">
        <f>IF(A72="1",1+MAX($B$1:$B71),"")</f>
        <v>59</v>
      </c>
      <c r="C72" s="82" t="s">
        <v>526</v>
      </c>
      <c r="D72" s="82" t="s">
        <v>529</v>
      </c>
      <c r="E72" s="82"/>
      <c r="F72" s="90">
        <v>8</v>
      </c>
      <c r="G72" s="82" t="s">
        <v>380</v>
      </c>
    </row>
    <row r="73" spans="1:7" ht="26" x14ac:dyDescent="0.35">
      <c r="A73" s="46" t="str">
        <f t="shared" si="2"/>
        <v>1</v>
      </c>
      <c r="B73" s="46">
        <f>IF(A73="1",1+MAX($B$1:$B72),"")</f>
        <v>60</v>
      </c>
      <c r="C73" s="82" t="s">
        <v>526</v>
      </c>
      <c r="D73" s="82" t="s">
        <v>530</v>
      </c>
      <c r="E73" s="82"/>
      <c r="F73" s="90">
        <v>8</v>
      </c>
      <c r="G73" s="82" t="s">
        <v>380</v>
      </c>
    </row>
    <row r="74" spans="1:7" ht="26" x14ac:dyDescent="0.35">
      <c r="A74" s="46" t="str">
        <f t="shared" si="2"/>
        <v>1</v>
      </c>
      <c r="B74" s="46">
        <f>IF(A74="1",1+MAX($B$1:$B73),"")</f>
        <v>61</v>
      </c>
      <c r="C74" s="82" t="s">
        <v>526</v>
      </c>
      <c r="D74" s="82" t="s">
        <v>531</v>
      </c>
      <c r="E74" s="82"/>
      <c r="F74" s="90">
        <v>8</v>
      </c>
      <c r="G74" s="82" t="s">
        <v>380</v>
      </c>
    </row>
    <row r="75" spans="1:7" ht="26" x14ac:dyDescent="0.35">
      <c r="A75" s="46" t="str">
        <f t="shared" si="2"/>
        <v>1</v>
      </c>
      <c r="B75" s="46">
        <f>IF(A75="1",1+MAX($B$1:$B74),"")</f>
        <v>62</v>
      </c>
      <c r="C75" s="82" t="s">
        <v>526</v>
      </c>
      <c r="D75" s="82" t="s">
        <v>532</v>
      </c>
      <c r="E75" s="82"/>
      <c r="F75" s="90">
        <v>8</v>
      </c>
      <c r="G75" s="82" t="s">
        <v>380</v>
      </c>
    </row>
    <row r="76" spans="1:7" ht="26" x14ac:dyDescent="0.35">
      <c r="A76" s="46" t="str">
        <f t="shared" si="2"/>
        <v>1</v>
      </c>
      <c r="B76" s="46">
        <f>IF(A76="1",1+MAX($B$1:$B75),"")</f>
        <v>63</v>
      </c>
      <c r="C76" s="82" t="s">
        <v>526</v>
      </c>
      <c r="D76" s="82" t="s">
        <v>533</v>
      </c>
      <c r="E76" s="82"/>
      <c r="F76" s="90">
        <v>8</v>
      </c>
      <c r="G76" s="82" t="s">
        <v>380</v>
      </c>
    </row>
    <row r="77" spans="1:7" ht="26" x14ac:dyDescent="0.35">
      <c r="A77" s="46" t="str">
        <f t="shared" si="2"/>
        <v>1</v>
      </c>
      <c r="B77" s="46">
        <f>IF(A77="1",1+MAX($B$1:$B76),"")</f>
        <v>64</v>
      </c>
      <c r="C77" s="82" t="s">
        <v>526</v>
      </c>
      <c r="D77" s="82" t="s">
        <v>534</v>
      </c>
      <c r="E77" s="82"/>
      <c r="F77" s="90" t="s">
        <v>281</v>
      </c>
      <c r="G77" s="82" t="s">
        <v>282</v>
      </c>
    </row>
    <row r="78" spans="1:7" ht="26" x14ac:dyDescent="0.35">
      <c r="A78" s="46" t="str">
        <f t="shared" si="2"/>
        <v>1</v>
      </c>
      <c r="B78" s="46">
        <f>IF(A78="1",1+MAX($B$1:$B77),"")</f>
        <v>65</v>
      </c>
      <c r="C78" s="85" t="s">
        <v>70</v>
      </c>
      <c r="D78" s="85" t="s">
        <v>535</v>
      </c>
      <c r="E78" s="85"/>
      <c r="F78" s="92" t="s">
        <v>286</v>
      </c>
      <c r="G78" s="86" t="s">
        <v>287</v>
      </c>
    </row>
  </sheetData>
  <autoFilter ref="C1:G67" xr:uid="{7798E2DF-9ED1-40A3-A93C-8D5367F6386C}"/>
  <mergeCells count="6">
    <mergeCell ref="C19:C20"/>
    <mergeCell ref="F19:F20"/>
    <mergeCell ref="G19:G20"/>
    <mergeCell ref="C24:C25"/>
    <mergeCell ref="F24:F25"/>
    <mergeCell ref="G24:G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d0a7ab-43ce-4015-89a8-5de70b77c5ab" xsi:nil="true"/>
    <lcf76f155ced4ddcb4097134ff3c332f xmlns="270d9b80-65e1-4fce-a27e-fa3180720347">
      <Terms xmlns="http://schemas.microsoft.com/office/infopath/2007/PartnerControls"/>
    </lcf76f155ced4ddcb4097134ff3c332f>
    <_dlc_DocId xmlns="ef2aa88a-5f2f-4f2b-9a3e-77c70cb46416">S4Z65KDKV7ED-1947150838-330</_dlc_DocId>
    <_dlc_DocIdUrl xmlns="ef2aa88a-5f2f-4f2b-9a3e-77c70cb46416">
      <Url>https://bbraun.sharepoint.com/sites/bbraun_eis_qual_chass_smifrance/_layouts/15/DocIdRedir.aspx?ID=S4Z65KDKV7ED-1947150838-330</Url>
      <Description>S4Z65KDKV7ED-1947150838-330</Description>
    </_dlc_DocIdUrl>
  </documentManagement>
</p:properties>
</file>

<file path=customXml/item2.xml>��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535A0881F61FA048B14AF4413E305319" ma:contentTypeVersion="12" ma:contentTypeDescription="Crée un document." ma:contentTypeScope="" ma:versionID="958215d84c2c6269d053482576e9e6f4">
  <xsd:schema xmlns:xsd="http://www.w3.org/2001/XMLSchema" xmlns:xs="http://www.w3.org/2001/XMLSchema" xmlns:p="http://schemas.microsoft.com/office/2006/metadata/properties" xmlns:ns2="ef2aa88a-5f2f-4f2b-9a3e-77c70cb46416" xmlns:ns3="270d9b80-65e1-4fce-a27e-fa3180720347" xmlns:ns4="6ed0a7ab-43ce-4015-89a8-5de70b77c5ab" targetNamespace="http://schemas.microsoft.com/office/2006/metadata/properties" ma:root="true" ma:fieldsID="01db1d62cc191c1df0a24241a2313bfe" ns2:_="" ns3:_="" ns4:_="">
    <xsd:import namespace="ef2aa88a-5f2f-4f2b-9a3e-77c70cb46416"/>
    <xsd:import namespace="270d9b80-65e1-4fce-a27e-fa3180720347"/>
    <xsd:import namespace="6ed0a7ab-43ce-4015-89a8-5de70b77c5a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2aa88a-5f2f-4f2b-9a3e-77c70cb464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70d9b80-65e1-4fce-a27e-fa318072034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b29d0967-da9b-4a39-b679-e3fd6923df66"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d0a7ab-43ce-4015-89a8-5de70b77c5a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c04f36d-4099-4dcb-9c33-ad92cc0790d2}" ma:internalName="TaxCatchAll" ma:showField="CatchAllData" ma:web="6ed0a7ab-43ce-4015-89a8-5de70b77c5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99DC60-3D37-4F91-AD3D-7DC2F38F9C02}">
  <ds:schemaRefs>
    <ds:schemaRef ds:uri="http://schemas.microsoft.com/office/2006/metadata/properties"/>
    <ds:schemaRef ds:uri="http://schemas.microsoft.com/office/infopath/2007/PartnerControls"/>
    <ds:schemaRef ds:uri="6ed0a7ab-43ce-4015-89a8-5de70b77c5ab"/>
    <ds:schemaRef ds:uri="270d9b80-65e1-4fce-a27e-fa3180720347"/>
    <ds:schemaRef ds:uri="ef2aa88a-5f2f-4f2b-9a3e-77c70cb46416"/>
  </ds:schemaRefs>
</ds:datastoreItem>
</file>

<file path=customXml/itemProps2.xml><?xml version="1.0" encoding="utf-8"?>
<ds:datastoreItem xmlns:ds="http://schemas.openxmlformats.org/officeDocument/2006/customXml" ds:itemID="{BBF5CBFF-2184-43F0-98B5-DA9BE6C07CA0}">
  <ds:schemaRefs>
    <ds:schemaRef ds:uri="http://schemas.microsoft.com/DataMashup"/>
  </ds:schemaRefs>
</ds:datastoreItem>
</file>

<file path=customXml/itemProps3.xml><?xml version="1.0" encoding="utf-8"?>
<ds:datastoreItem xmlns:ds="http://schemas.openxmlformats.org/officeDocument/2006/customXml" ds:itemID="{C9D226EE-0AAC-4350-BA68-8A5696C60487}">
  <ds:schemaRefs>
    <ds:schemaRef ds:uri="http://schemas.microsoft.com/sharepoint/events"/>
  </ds:schemaRefs>
</ds:datastoreItem>
</file>

<file path=customXml/itemProps4.xml><?xml version="1.0" encoding="utf-8"?>
<ds:datastoreItem xmlns:ds="http://schemas.openxmlformats.org/officeDocument/2006/customXml" ds:itemID="{EDE74EE5-F774-43B5-B9D9-CE7ECAABDC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2aa88a-5f2f-4f2b-9a3e-77c70cb46416"/>
    <ds:schemaRef ds:uri="270d9b80-65e1-4fce-a27e-fa3180720347"/>
    <ds:schemaRef ds:uri="6ed0a7ab-43ce-4015-89a8-5de70b77c5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0F9D078-781E-496B-A7C2-1FE32AD78F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Structure_RMF</vt:lpstr>
      <vt:lpstr>Liste docs RMF</vt:lpstr>
      <vt:lpstr>GMED</vt:lpstr>
      <vt:lpstr>annexe II MDR</vt:lpstr>
      <vt:lpstr>Formés BDoCS</vt:lpstr>
      <vt:lpstr>Resp et docs</vt:lpstr>
      <vt:lpstr>Feuil1</vt:lpstr>
      <vt:lpstr>map Annexe II - RMF</vt:lpstr>
      <vt:lpstr>GMED!Print_Area</vt:lpstr>
      <vt:lpstr>'Liste docs RMF'!Print_Titles</vt:lpstr>
      <vt:lpstr>Structure_RMF!Print_Titles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Bourgeois</dc:creator>
  <cp:keywords/>
  <dc:description/>
  <cp:lastModifiedBy>Patrick Raugel (EXT)</cp:lastModifiedBy>
  <cp:revision/>
  <cp:lastPrinted>2026-09-03T08:57:15Z</cp:lastPrinted>
  <dcterms:created xsi:type="dcterms:W3CDTF">2025-04-03T12:58:24Z</dcterms:created>
  <dcterms:modified xsi:type="dcterms:W3CDTF">2026-10-02T14:16:22Z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de25a8-ef47-40a7-b7ec-c38f3edc2acf_Enabled">
    <vt:lpwstr>true</vt:lpwstr>
  </property>
  <property fmtid="{D5CDD505-2E9C-101B-9397-08002B2CF9AE}" pid="3" name="MSIP_Label_a8de25a8-ef47-40a7-b7ec-c38f3edc2acf_SetDate">
    <vt:lpwstr>2025-04-03T12:58:23Z</vt:lpwstr>
  </property>
  <property fmtid="{D5CDD505-2E9C-101B-9397-08002B2CF9AE}" pid="4" name="MSIP_Label_a8de25a8-ef47-40a7-b7ec-c38f3edc2acf_Method">
    <vt:lpwstr>Standard</vt:lpwstr>
  </property>
  <property fmtid="{D5CDD505-2E9C-101B-9397-08002B2CF9AE}" pid="5" name="MSIP_Label_a8de25a8-ef47-40a7-b7ec-c38f3edc2acf_Name">
    <vt:lpwstr>a8de25a8-ef47-40a7-b7ec-c38f3edc2acf</vt:lpwstr>
  </property>
  <property fmtid="{D5CDD505-2E9C-101B-9397-08002B2CF9AE}" pid="6" name="MSIP_Label_a8de25a8-ef47-40a7-b7ec-c38f3edc2acf_SiteId">
    <vt:lpwstr>15d1bef2-0a6a-46f9-be4c-023279325e51</vt:lpwstr>
  </property>
  <property fmtid="{D5CDD505-2E9C-101B-9397-08002B2CF9AE}" pid="7" name="MSIP_Label_a8de25a8-ef47-40a7-b7ec-c38f3edc2acf_ActionId">
    <vt:lpwstr>ff0e76d4-4f9f-41ad-abb3-d5c49f879491</vt:lpwstr>
  </property>
  <property fmtid="{D5CDD505-2E9C-101B-9397-08002B2CF9AE}" pid="8" name="MSIP_Label_a8de25a8-ef47-40a7-b7ec-c38f3edc2acf_ContentBits">
    <vt:lpwstr>0</vt:lpwstr>
  </property>
  <property fmtid="{D5CDD505-2E9C-101B-9397-08002B2CF9AE}" pid="9" name="ContentTypeId">
    <vt:lpwstr>0x010100535A0881F61FA048B14AF4413E305319</vt:lpwstr>
  </property>
  <property fmtid="{D5CDD505-2E9C-101B-9397-08002B2CF9AE}" pid="10" name="EIMColCollabAudience">
    <vt:lpwstr/>
  </property>
  <property fmtid="{D5CDD505-2E9C-101B-9397-08002B2CF9AE}" pid="11" name="MediaServiceImageTags">
    <vt:lpwstr/>
  </property>
  <property fmtid="{D5CDD505-2E9C-101B-9397-08002B2CF9AE}" pid="12" name="_dlc_DocIdItemGuid">
    <vt:lpwstr>6bd2343f-7177-4469-8b75-54365d14c319</vt:lpwstr>
  </property>
</Properties>
</file>